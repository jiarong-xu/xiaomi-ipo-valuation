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e96df0f3b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ation" sheetId="1" r:id="R30d5fa863b10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"/>
    <x:numFmt numFmtId="201" formatCode="0.00"/>
    <x:numFmt numFmtId="202" formatCode="#,##0.0;(#,##0.0);&quot;–&quot;"/>
    <x:numFmt numFmtId="203" formatCode="0.00&quot;x&quot;"/>
    <x:numFmt numFmtId="204" formatCode="0.0%"/>
    <x:numFmt numFmtId="205" formatCode="#,##0.000;(#,##0.000);&quot;–&quot;"/>
  </x:numFmts>
  <x:fonts count="9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6"/>
      <x:name val="Arial"/>
    </x:font>
    <x:font>
      <x:sz val="11"/>
      <x:color rgb="FFFFFFFF"/>
      <x:name val="Arial"/>
    </x:font>
    <x:font>
      <x:sz val="11"/>
      <x:color rgb="FF0000FF"/>
      <x:name val="Arial"/>
    </x:font>
    <x:font>
      <x:sz val="10"/>
      <x:name val="Carlito"/>
    </x:font>
    <x:font>
      <x:sz val="10"/>
      <x:color rgb="FFFFFFFF"/>
      <x:name val="Carlito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6"/>
      </x:patternFill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1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2" fontId="2" fillId="0" borderId="0" xfId="0" applyNumberFormat="1" applyFont="1" applyFill="1" applyBorder="1"/>
    <x:xf numFmtId="205" fontId="5" fillId="0" borderId="0" xfId="0" applyNumberFormat="1" applyFont="1" applyFill="1" applyBorder="1"/>
    <x:xf numFmtId="205" fontId="1" fillId="0" borderId="0" xfId="0" applyNumberFormat="1" applyFont="1" applyFill="1" applyBorder="1"/>
    <x:xf numFmtId="201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2a0f7472c4c1e" /><Relationship Type="http://schemas.openxmlformats.org/officeDocument/2006/relationships/theme" Target="/xl/theme/theme1.xml" Id="Rcd7cba28264142c6" /><Relationship Type="http://schemas.openxmlformats.org/officeDocument/2006/relationships/sharedStrings" Target="/xl/sharedStrings.xml" Id="Rc65928fd8bdf4bd1" /><Relationship Type="http://schemas.openxmlformats.org/officeDocument/2006/relationships/worksheet" Target="/xl/worksheets/sheet1.xml" Id="R30d5fa863b104a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6" hidden="0" customWidth="1"/>
    <x:col min="3" max="3" width="24" hidden="0" customWidth="1"/>
    <x:col min="4" max="4" width="24" hidden="0" customWidth="1"/>
    <x:col min="5" max="5" width="24" hidden="0" customWidth="1"/>
    <x:col min="6" max="6" width="3" hidden="0" customWidth="1"/>
    <x:col min="7" max="7" width="33" hidden="0" customWidth="1"/>
    <x:col min="8" max="8" width="33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1"/>
      <x:c r="B2" s="3" t="str">
        <x:v>Xiaomi IPO — Relative Valuation</x:v>
      </x:c>
      <x:c r="C2" s="3"/>
      <x:c r="D2" s="3"/>
      <x:c r="E2" s="3"/>
    </x:row>
    <x:row r="3" ht="38" customHeight="1">
      <x:c r="A3" s="1"/>
      <x:c r="B3" s="4" t="str">
        <x:v>Jiarong Xu | Historical coursework model | All Xiaomi monetary values in RMB millions unless indicated.</x:v>
      </x:c>
      <x:c r="C3" s="4"/>
      <x:c r="D3" s="4"/>
      <x:c r="E3" s="4"/>
    </x:row>
    <x:row r="4" ht="23" customHeight="1">
      <x:c r="A4" s="1"/>
      <x:c r="B4" s="1"/>
      <x:c r="C4" s="1"/>
      <x:c r="D4" s="1"/>
      <x:c r="E4" s="1"/>
    </x:row>
    <x:row r="5" ht="23" customHeight="1">
      <x:c r="A5" s="1"/>
      <x:c r="B5" s="10" t="str">
        <x:v>Three-segment enterprise value</x:v>
      </x:c>
      <x:c r="C5" s="11" t="n">
        <x:f>SUM(C16:E16)</x:f>
        <x:v>431739.9700581449</x:v>
      </x:c>
      <x:c r="D5" s="1"/>
      <x:c r="E5" s="1"/>
    </x:row>
    <x:row r="6" ht="23" customHeight="1">
      <x:c r="A6" s="1"/>
      <x:c r="B6" s="10" t="str">
        <x:v>Illustrative equity reference (HK$/share)</x:v>
      </x:c>
      <x:c r="C6" s="12" t="n">
        <x:f>C35</x:f>
        <x:v>17.497661684069282</x:v>
      </x:c>
      <x:c r="D6" s="1"/>
      <x:c r="E6" s="1"/>
    </x:row>
    <x:row r="7" ht="38" customHeight="1">
      <x:c r="A7" s="1"/>
      <x:c r="B7" s="4" t="str">
        <x:v>Estimation method: apply a proxy peer EV/revenue multiple to each segment. Negative reported earnings limit P/E use; segment EBITDA is not sufficiently reconciled for use here.</x:v>
      </x:c>
      <x:c r="C7" s="4"/>
      <x:c r="D7" s="4"/>
      <x:c r="E7" s="4"/>
    </x:row>
    <x:row r="8" ht="23" customHeight="1">
      <x:c r="A8" s="1"/>
      <x:c r="B8" s="1"/>
      <x:c r="C8" s="1"/>
      <x:c r="D8" s="1"/>
      <x:c r="E8" s="1"/>
    </x:row>
    <x:row r="9" ht="23" customHeight="1">
      <x:c r="A9" s="1"/>
      <x:c r="B9" s="2" t="str">
        <x:v>1. Segment enterprise values</x:v>
      </x:c>
      <x:c r="C9" s="2"/>
      <x:c r="D9" s="2"/>
      <x:c r="E9" s="2"/>
    </x:row>
    <x:row r="10" ht="29" customHeight="1">
      <x:c r="A10" s="1"/>
      <x:c r="B10" s="14" t="str">
        <x:v>Metric</x:v>
      </x:c>
      <x:c r="C10" s="14" t="str">
        <x:v>Smartphones</x:v>
      </x:c>
      <x:c r="D10" s="14" t="str">
        <x:v>IoT / lifestyle</x:v>
      </x:c>
      <x:c r="E10" s="14" t="str">
        <x:v>Internet services</x:v>
      </x:c>
      <x:c r="G10" s="27" t="str">
        <x:v>Input reference / original unit</x:v>
      </x:c>
      <x:c r="H10" s="27"/>
    </x:row>
    <x:row r="11" ht="23" customHeight="1">
      <x:c r="A11" s="1"/>
      <x:c r="B11" s="1" t="str">
        <x:v>Proxy peer (same as WACC model)</x:v>
      </x:c>
      <x:c r="C11" s="1" t="str">
        <x:v>Apple</x:v>
      </x:c>
      <x:c r="D11" s="1" t="str">
        <x:v>TCL Electronics</x:v>
      </x:c>
      <x:c r="E11" s="1" t="str">
        <x:v>Tencent</x:v>
      </x:c>
    </x:row>
    <x:row r="12" ht="23" customHeight="1">
      <x:c r="A12" s="1"/>
      <x:c r="B12" s="1" t="str">
        <x:v>Peer enterprise value (USD millions)</x:v>
      </x:c>
      <x:c r="C12" s="16" t="n">
        <x:v>821630</x:v>
      </x:c>
      <x:c r="D12" s="16" t="n">
        <x:v>1021.3</x:v>
      </x:c>
      <x:c r="E12" s="16" t="n">
        <x:v>489061</x:v>
      </x:c>
      <x:c r="G12" s="25" t="str">
        <x:v>C: Exhibit 3, p.10; peer EV and sales in USD millions. Case reports FactSet access on 15 Mar 2019; individual metric dates unspecified.</x:v>
      </x:c>
      <x:c r="H12" s="25"/>
    </x:row>
    <x:row r="13" ht="23" customHeight="1">
      <x:c r="A13" s="1"/>
      <x:c r="B13" s="1" t="str">
        <x:v>Peer annual sales (USD millions)</x:v>
      </x:c>
      <x:c r="C13" s="16" t="n">
        <x:v>228572</x:v>
      </x:c>
      <x:c r="D13" s="16" t="n">
        <x:v>5238.5</x:v>
      </x:c>
      <x:c r="E13" s="16" t="n">
        <x:v>35180.9</x:v>
      </x:c>
      <x:c r="G13" s="25"/>
      <x:c r="H13" s="25"/>
    </x:row>
    <x:row r="14" ht="23" customHeight="1">
      <x:c r="A14" s="1"/>
      <x:c r="B14" s="1" t="str">
        <x:v>Peer EV / revenue</x:v>
      </x:c>
      <x:c r="C14" s="18" t="n">
        <x:f>C12/C13</x:f>
        <x:v>3.594622263444341</x:v>
      </x:c>
      <x:c r="D14" s="18" t="n">
        <x:f>D12/D13</x:f>
        <x:v>0.19496038942445357</x:v>
      </x:c>
      <x:c r="E14" s="18" t="n">
        <x:f>E12/E13</x:f>
        <x:v>13.901321455676232</x:v>
      </x:c>
    </x:row>
    <x:row r="15" ht="23" customHeight="1">
      <x:c r="A15" s="1"/>
      <x:c r="B15" s="1" t="str">
        <x:v>Xiaomi 2017 segment revenue</x:v>
      </x:c>
      <x:c r="C15" s="16" t="n">
        <x:v>80563.594</x:v>
      </x:c>
      <x:c r="D15" s="16" t="n">
        <x:v>23447.823</x:v>
      </x:c>
      <x:c r="E15" s="16" t="n">
        <x:v>9896.389</x:v>
      </x:c>
      <x:c r="G15" s="25" t="str">
        <x:v>P: Note 5, I-54; FY2017 segment revenue, RMB thousands divided by 1,000. EV is calculated, not disclosed.</x:v>
      </x:c>
      <x:c r="H15" s="25"/>
    </x:row>
    <x:row r="16" ht="23" customHeight="1">
      <x:c r="A16" s="1"/>
      <x:c r="B16" s="2" t="str">
        <x:v>Implied segment enterprise value</x:v>
      </x:c>
      <x:c r="C16" s="20" t="n">
        <x:f>C14*C15</x:f>
        <x:v>289595.6886154909</x:v>
      </x:c>
      <x:c r="D16" s="20" t="n">
        <x:f>D14*D15</x:f>
        <x:v>4571.3967032356595</x:v>
      </x:c>
      <x:c r="E16" s="20" t="n">
        <x:f>E14*E15</x:f>
        <x:v>137572.88473941825</x:v>
      </x:c>
      <x:c r="G16" s="25"/>
      <x:c r="H16" s="25"/>
    </x:row>
    <x:row r="17" ht="23" customHeight="1">
      <x:c r="A17" s="1"/>
      <x:c r="B17" s="1"/>
      <x:c r="C17" s="17"/>
      <x:c r="D17" s="17"/>
      <x:c r="E17" s="17"/>
    </x:row>
    <x:row r="18" ht="23" customHeight="1">
      <x:c r="A18" s="1"/>
      <x:c r="B18" s="1" t="str">
        <x:v>Xiaomi 2017 segment cost of sales</x:v>
      </x:c>
      <x:c r="C18" s="16" t="n">
        <x:v>73462.255</x:v>
      </x:c>
      <x:c r="D18" s="16" t="n">
        <x:v>21496.958</x:v>
      </x:c>
      <x:c r="E18" s="16" t="n">
        <x:v>3935.638</x:v>
      </x:c>
      <x:c r="G18" s="25" t="str">
        <x:v>P: Note 5, I-54; FY2017 segment cost and gross profit. RMB thousands divided by 1,000; weights calculated.</x:v>
      </x:c>
      <x:c r="H18" s="25"/>
    </x:row>
    <x:row r="19" ht="23" customHeight="1">
      <x:c r="A19" s="1"/>
      <x:c r="B19" s="1" t="str">
        <x:v>Xiaomi 2017 segment gross profit</x:v>
      </x:c>
      <x:c r="C19" s="17" t="n">
        <x:f>C15-C18</x:f>
        <x:v>7101.338999999993</x:v>
      </x:c>
      <x:c r="D19" s="17" t="n">
        <x:f>D15-D18</x:f>
        <x:v>1950.8650000000016</x:v>
      </x:c>
      <x:c r="E19" s="17" t="n">
        <x:f>E15-E18</x:f>
        <x:v>5960.750999999999</x:v>
      </x:c>
      <x:c r="G19" s="25"/>
      <x:c r="H19" s="25"/>
    </x:row>
    <x:row r="20" ht="23" customHeight="1">
      <x:c r="A20" s="1"/>
      <x:c r="B20" s="1" t="str">
        <x:v>Gross-profit weight used in WACC</x:v>
      </x:c>
      <x:c r="C20" s="19" t="n">
        <x:f>C19/SUM($C$19:$E$19)</x:f>
        <x:v>0.47301407351184327</x:v>
      </x:c>
      <x:c r="D20" s="19" t="n">
        <x:f>D19/SUM($C$19:$E$19)</x:f>
        <x:v>0.12994543712413728</x:v>
      </x:c>
      <x:c r="E20" s="19" t="n">
        <x:f>E19/SUM($C$19:$E$19)</x:f>
        <x:v>0.39704048936401937</x:v>
      </x:c>
      <x:c r="G20" s="25"/>
      <x:c r="H20" s="25"/>
    </x:row>
    <x:row r="21" ht="23" customHeight="1">
      <x:c r="A21" s="1"/>
      <x:c r="B21" s="1"/>
      <x:c r="C21" s="1"/>
      <x:c r="D21" s="1"/>
      <x:c r="E21" s="1"/>
    </x:row>
    <x:row r="22" ht="23" customHeight="1">
      <x:c r="A22" s="1"/>
      <x:c r="B22" s="2" t="str">
        <x:v>2. Illustrative equity bridge</x:v>
      </x:c>
      <x:c r="C22" s="2"/>
      <x:c r="D22" s="2"/>
      <x:c r="E22" s="2"/>
    </x:row>
    <x:row r="23" ht="34" customHeight="1">
      <x:c r="A23" s="1"/>
      <x:c r="B23" s="1" t="str">
        <x:v>2017 unrestricted cash and equivalents</x:v>
      </x:c>
      <x:c r="C23" s="21" t="n">
        <x:v>11563.282</x:v>
      </x:c>
      <x:c r="D23" s="1"/>
      <x:c r="E23" s="1"/>
      <x:c r="G23" s="25" t="str">
        <x:v>P: I-6, 31 Dec 2017; cash equivalents / 1,000.</x:v>
      </x:c>
      <x:c r="H23" s="25"/>
    </x:row>
    <x:row r="24" ht="34" customHeight="1">
      <x:c r="A24" s="1"/>
      <x:c r="B24" s="1" t="str">
        <x:v>2017 current borrowings</x:v>
      </x:c>
      <x:c r="C24" s="21" t="n">
        <x:v>3550.801</x:v>
      </x:c>
      <x:c r="D24" s="1"/>
      <x:c r="E24" s="1"/>
      <x:c r="G24" s="25" t="str">
        <x:v>P: I-7 and Note 33, I-97; borrowings / 1,000.</x:v>
      </x:c>
      <x:c r="H24" s="25"/>
    </x:row>
    <x:row r="25" ht="34" customHeight="1">
      <x:c r="A25" s="1"/>
      <x:c r="B25" s="1" t="str">
        <x:v>2017 non-current borrowings</x:v>
      </x:c>
      <x:c r="C25" s="21" t="n">
        <x:v>7251.312</x:v>
      </x:c>
      <x:c r="D25" s="1"/>
      <x:c r="E25" s="1"/>
      <x:c r="G25" s="25" t="str">
        <x:v>P: I-7 and Note 33, I-97; borrowings / 1,000.</x:v>
      </x:c>
      <x:c r="H25" s="25"/>
    </x:row>
    <x:row r="26" ht="34" customHeight="1">
      <x:c r="A26" s="1"/>
      <x:c r="B26" s="1" t="str">
        <x:v>2017 related-party loans</x:v>
      </x:c>
      <x:c r="C26" s="21" t="n">
        <x:v>51.336</x:v>
      </x:c>
      <x:c r="D26" s="1"/>
      <x:c r="E26" s="1"/>
      <x:c r="G26" s="25" t="str">
        <x:v>P: Note 31(a), I-96; related-party loans / 1,000.</x:v>
      </x:c>
      <x:c r="H26" s="25"/>
    </x:row>
    <x:row r="27" ht="34" customHeight="1">
      <x:c r="A27" s="1"/>
      <x:c r="B27" s="1" t="str">
        <x:v>2017 non-controlling interests (book proxy)</x:v>
      </x:c>
      <x:c r="C27" s="21" t="n">
        <x:v>61.67</x:v>
      </x:c>
      <x:c r="D27" s="1"/>
      <x:c r="E27" s="1"/>
      <x:c r="G27" s="25" t="str">
        <x:v>P: I-6; NCI / 1,000. Book value is a proxy.</x:v>
      </x:c>
      <x:c r="H27" s="25"/>
    </x:row>
    <x:row r="28" ht="34" customHeight="1">
      <x:c r="A28" s="1"/>
      <x:c r="B28" s="1" t="str">
        <x:v>Post-conversion preference claim (assumed)</x:v>
      </x:c>
      <x:c r="C28" s="21" t="n">
        <x:v>0</x:v>
      </x:c>
      <x:c r="D28" s="1"/>
      <x:c r="E28" s="1"/>
      <x:c r="G28" s="25" t="str">
        <x:v>A: assume preference conversion; not a reported zero.</x:v>
      </x:c>
      <x:c r="H28" s="25"/>
    </x:row>
    <x:row r="29" ht="34" customHeight="1">
      <x:c r="A29" s="1"/>
      <x:c r="B29" s="1" t="str">
        <x:v>Net IPO cash added (excluded by assumption)</x:v>
      </x:c>
      <x:c r="C29" s="21" t="n">
        <x:v>0</x:v>
      </x:c>
      <x:c r="D29" s="1"/>
      <x:c r="E29" s="1"/>
      <x:c r="G29" s="25" t="str">
        <x:v>A: exclude IPO cash from this simplified bridge.</x:v>
      </x:c>
      <x:c r="H29" s="25"/>
    </x:row>
    <x:row r="30" ht="34" customHeight="1">
      <x:c r="A30" s="1"/>
      <x:c r="B30" s="1" t="str">
        <x:v>Other investments / adjustments (excluded)</x:v>
      </x:c>
      <x:c r="C30" s="21" t="n">
        <x:v>0</x:v>
      </x:c>
      <x:c r="D30" s="1"/>
      <x:c r="E30" s="1"/>
      <x:c r="G30" s="25" t="str">
        <x:v>A: exclude investment assets and other adjustments.</x:v>
      </x:c>
      <x:c r="H30" s="25"/>
    </x:row>
    <x:row r="31" ht="23" customHeight="1">
      <x:c r="A31" s="1"/>
      <x:c r="B31" s="1" t="str">
        <x:v>Illustrative equity value (RMB millions)</x:v>
      </x:c>
      <x:c r="C31" s="22" t="n">
        <x:f>C5+C23-SUM(C24:C28)+SUM(C29:C30)</x:f>
        <x:v>432388.1330581449</x:v>
      </x:c>
      <x:c r="D31" s="1"/>
      <x:c r="E31" s="1"/>
    </x:row>
    <x:row r="32" ht="23" customHeight="1">
      <x:c r="A32" s="1"/>
      <x:c r="B32" s="1"/>
      <x:c r="C32" s="22"/>
      <x:c r="D32" s="1"/>
      <x:c r="E32" s="1"/>
    </x:row>
    <x:row r="33" ht="48" customHeight="1">
      <x:c r="A33" s="1"/>
      <x:c r="B33" s="1" t="str">
        <x:v>Case share count (millions)</x:v>
      </x:c>
      <x:c r="C33" s="21" t="n">
        <x:v>20941.69083</x:v>
      </x:c>
      <x:c r="D33" s="1"/>
      <x:c r="E33" s="1"/>
      <x:c r="G33" s="25" t="str">
        <x:v>C: Exhibit 5, p.14; shares / 1,000,000. P p.193 confirms pre-offering count; not post-IPO diluted shares.</x:v>
      </x:c>
      <x:c r="H33" s="25"/>
    </x:row>
    <x:row r="34" ht="34" customHeight="1">
      <x:c r="A34" s="1"/>
      <x:c r="B34" s="1" t="str">
        <x:v>RMB per HK$ (case assumption)</x:v>
      </x:c>
      <x:c r="C34" s="23" t="n">
        <x:v>1.18</x:v>
      </x:c>
      <x:c r="D34" s="1"/>
      <x:c r="E34" s="1"/>
      <x:c r="G34" s="25" t="str">
        <x:v>C: Exhibit 5, p.13; assumed RMB per HK$.</x:v>
      </x:c>
      <x:c r="H34" s="25"/>
    </x:row>
    <x:row r="35" ht="23" customHeight="1">
      <x:c r="A35" s="1"/>
      <x:c r="B35" s="10" t="str">
        <x:v>Illustrative equity reference (HK$/share)</x:v>
      </x:c>
      <x:c r="C35" s="12" t="n">
        <x:f>C31/C33/C34</x:f>
        <x:v>17.497661684069282</x:v>
      </x:c>
      <x:c r="D35" s="1"/>
      <x:c r="E35" s="1"/>
    </x:row>
    <x:row r="36" ht="34" customHeight="1">
      <x:c r="A36" s="1"/>
      <x:c r="B36" s="1" t="str">
        <x:v>IPO offer price (HK$/share)</x:v>
      </x:c>
      <x:c r="C36" s="23" t="n">
        <x:v>17</x:v>
      </x:c>
      <x:c r="D36" s="1"/>
      <x:c r="E36" s="1"/>
      <x:c r="G36" s="25" t="str">
        <x:v>C: IPO narrative, p.7; final offer price, HK$.</x:v>
      </x:c>
      <x:c r="H36" s="25"/>
    </x:row>
    <x:row r="37" ht="23" customHeight="1">
      <x:c r="A37" s="1"/>
      <x:c r="B37" s="1" t="str">
        <x:v>Reference / offer price less 1</x:v>
      </x:c>
      <x:c r="C37" s="19" t="n">
        <x:f>C35/C36-1</x:f>
        <x:v>0.02927421670995778</x:v>
      </x:c>
      <x:c r="D37" s="1"/>
      <x:c r="E37" s="1"/>
    </x:row>
    <x:row r="38" ht="23" customHeight="1">
      <x:c r="A38" s="1"/>
      <x:c r="B38" s="1"/>
      <x:c r="C38" s="1"/>
      <x:c r="D38" s="1"/>
      <x:c r="E38" s="1"/>
    </x:row>
    <x:row r="39" ht="23" customHeight="1">
      <x:c r="A39" s="1"/>
      <x:c r="B39" s="2" t="str">
        <x:v>Interpretation</x:v>
      </x:c>
      <x:c r="C39" s="2"/>
      <x:c r="D39" s="2"/>
      <x:c r="E39" s="2"/>
    </x:row>
    <x:row r="40" ht="38" customHeight="1">
      <x:c r="A40" s="1"/>
      <x:c r="B40" s="4" t="str">
        <x:v>Estimation method: one proxy peer per business. A fuller valuation would use several comparable peers and align their dates, margins, growth and accounting measures.</x:v>
      </x:c>
      <x:c r="C40" s="4"/>
      <x:c r="D40" s="4"/>
      <x:c r="E40" s="4"/>
    </x:row>
    <x:row r="41" ht="23" customHeight="1">
      <x:c r="A41" s="1"/>
      <x:c r="B41" s="1"/>
      <x:c r="C41" s="1"/>
      <x:c r="D41" s="1"/>
      <x:c r="E41" s="1"/>
    </x:row>
    <x:row r="42" ht="38" customHeight="1">
      <x:c r="A42" s="1"/>
      <x:c r="B42" s="4" t="str">
        <x:v>Timing: the case reports peer-data access in March 2019; metric observation dates are unspecified. Xiaomi inputs use 2017 figures. Dates and diluted shares need alignment.</x:v>
      </x:c>
      <x:c r="C42" s="4"/>
      <x:c r="D42" s="4"/>
      <x:c r="E42" s="4"/>
    </x:row>
    <x:row r="43" ht="23" customHeight="1">
      <x:c r="A43" s="1"/>
      <x:c r="B43" s="1"/>
      <x:c r="C43" s="1"/>
      <x:c r="D43" s="1"/>
      <x:c r="E43" s="1"/>
    </x:row>
    <x:row r="44" ht="38" customHeight="1">
      <x:c r="A44" s="1"/>
      <x:c r="B44" s="4" t="str">
        <x:v>Bridge simplifications: preference conversion assumed; IPO cash and investments excluded; NCI uses book value. Ideally reconcile all claims and non-operating assets at the valuation date.</x:v>
      </x:c>
      <x:c r="C44" s="4"/>
      <x:c r="D44" s="4"/>
      <x:c r="E44" s="4"/>
    </x:row>
    <x:row r="45" ht="23" customHeight="1">
      <x:c r="A45" s="1"/>
      <x:c r="B45" s="1"/>
      <x:c r="C45" s="1"/>
      <x:c r="D45" s="1"/>
      <x:c r="E45" s="1"/>
    </x:row>
    <x:row r="46" ht="38" customHeight="1">
      <x:c r="A46" s="1"/>
      <x:c r="B46" s="4" t="str">
        <x:v>Others is excluded. Gross-profit shares match the WACC business weights but do not allocate EV here. WACC is not used in this multiples method. Results are illustrative estimates.</x:v>
      </x:c>
      <x:c r="C46" s="4"/>
      <x:c r="D46" s="4"/>
      <x:c r="E46" s="4"/>
    </x:row>
    <x:row r="47" ht="23" customHeight="1">
      <x:c r="A47" s="1"/>
      <x:c r="B47" s="1"/>
      <x:c r="C47" s="1"/>
      <x:c r="D47" s="1"/>
      <x:c r="E47" s="1"/>
    </x:row>
    <x:row r="48" ht="38" customHeight="1">
      <x:c r="A48" s="1"/>
      <x:c r="B48" s="4" t="str">
        <x:v>Blue numbers are editable inputs. Black numbers are formula outputs. This worksheet presents one consistent estimate and its assumptions.</x:v>
      </x:c>
      <x:c r="C48" s="4"/>
      <x:c r="D48" s="4"/>
      <x:c r="E48" s="4"/>
    </x:row>
    <x:row r="49" ht="23" customHeight="1">
      <x:c r="A49" s="1"/>
      <x:c r="B49" s="1"/>
      <x:c r="C49" s="1"/>
      <x:c r="D49" s="1"/>
      <x:c r="E49" s="1"/>
    </x:row>
    <x:row r="50" ht="23" customHeight="1">
      <x:c r="A50" s="1"/>
      <x:c r="B50" s="1"/>
      <x:c r="C50" s="1"/>
      <x:c r="D50" s="1"/>
      <x:c r="E50" s="1"/>
    </x:row>
    <x:row r="51" ht="23" customHeight="1">
      <x:c r="A51" s="1"/>
      <x:c r="B51" s="2" t="str">
        <x:v>Input reference key</x:v>
      </x:c>
      <x:c r="C51" s="2"/>
      <x:c r="D51" s="2"/>
      <x:c r="E51" s="2"/>
    </x:row>
    <x:row r="52" ht="38" customHeight="1">
      <x:c r="A52" s="1"/>
      <x:c r="B52" s="28" t="str">
        <x:v>P = Xiaomi Global Offering Prospectus, 25 June 2018. Page references use printed page numbers; original financial statements are in RMB thousands.</x:v>
      </x:c>
      <x:c r="C52" s="28"/>
      <x:c r="D52" s="28"/>
      <x:c r="E52" s="28"/>
      <x:c r="F52" s="25"/>
      <x:c r="G52" s="25"/>
      <x:c r="H52" s="25"/>
    </x:row>
    <x:row r="53" ht="23" customHeight="1">
      <x:c r="A53" s="1"/>
      <x:c r="B53" s="1"/>
      <x:c r="C53" s="1"/>
      <x:c r="D53" s="1"/>
      <x:c r="E53" s="1"/>
    </x:row>
    <x:row r="54" ht="38" customHeight="1">
      <x:c r="A54" s="1"/>
      <x:c r="B54" s="28" t="str">
        <x:v>C = Xiaomi Corporation: Initial Public Offering, GC-18-001-CE, 2019. A = analyst assumption, not externally verified data. Peer EV/sales are retained from the supplied case.</x:v>
      </x:c>
      <x:c r="C54" s="28"/>
      <x:c r="D54" s="28"/>
      <x:c r="E54" s="28"/>
      <x:c r="F54" s="25"/>
      <x:c r="G54" s="25"/>
      <x:c r="H54" s="25"/>
    </x:row>
    <x:row r="55" ht="23" customHeight="1">
      <x:c r="A55" s="1"/>
      <x:c r="B55" s="1"/>
      <x:c r="C55" s="1"/>
      <x:c r="D55" s="1"/>
      <x:c r="E55" s="1"/>
    </x:row>
    <x:row r="56" ht="38" customHeight="1">
      <x:c r="A56" s="1"/>
      <x:c r="B56" s="28" t="str">
        <x:v>Source status: Xiaomi amounts matched to the public prospectus. Peer fields were transcribed from the case and not independently refreshed. Case access date is not proof of a common valuation date.</x:v>
      </x:c>
      <x:c r="C56" s="28"/>
      <x:c r="D56" s="28"/>
      <x:c r="E56" s="28"/>
      <x:c r="F56" s="25"/>
      <x:c r="G56" s="25"/>
      <x:c r="H56" s="25"/>
    </x:row>
    <x:row r="57" ht="23" customHeight="1">
      <x:c r="A57" s="1"/>
      <x:c r="B57" s="1"/>
      <x:c r="C57" s="1"/>
      <x:c r="D57" s="1"/>
      <x:c r="E57" s="1"/>
    </x:row>
    <x:row r="58" ht="38" customHeight="1">
      <x:c r="A58" s="1"/>
      <x:c r="B58" s="28" t="str">
        <x:v>https://www1.hkexnews.hk/listedco/listconews/sehk/2018/0625/ltn20180625033.pdf</x:v>
      </x:c>
      <x:c r="C58" s="28"/>
      <x:c r="D58" s="28"/>
      <x:c r="E58" s="28"/>
      <x:c r="F58" s="25"/>
      <x:c r="G58" s="25"/>
      <x:c r="H58" s="25"/>
    </x:row>
    <x:row r="59" ht="23" customHeight="1">
      <x:c r="A59" s="1"/>
      <x:c r="B59" s="1"/>
      <x:c r="C59" s="1"/>
      <x:c r="D59" s="1"/>
      <x:c r="E59" s="1"/>
    </x:row>
    <x:row r="60" ht="23" customHeight="1">
      <x:c r="A60" s="1"/>
      <x:c r="B60" s="1"/>
      <x:c r="C60" s="1"/>
      <x:c r="D60" s="1"/>
      <x:c r="E60" s="1"/>
    </x:row>
  </x:sheetData>
  <x:mergeCells>
    <x:mergeCell ref="B3:E3"/>
    <x:mergeCell ref="B7:E7"/>
    <x:mergeCell ref="B40:E40"/>
    <x:mergeCell ref="B42:E42"/>
    <x:mergeCell ref="B44:E44"/>
    <x:mergeCell ref="B46:E46"/>
    <x:mergeCell ref="B48:E48"/>
    <x:mergeCell ref="G10:H10"/>
    <x:mergeCell ref="G12:H13"/>
    <x:mergeCell ref="G15:H16"/>
    <x:mergeCell ref="G18:H20"/>
    <x:mergeCell ref="G23:H23"/>
    <x:mergeCell ref="G24:H24"/>
    <x:mergeCell ref="G25:H25"/>
    <x:mergeCell ref="G26:H26"/>
    <x:mergeCell ref="G27:H27"/>
    <x:mergeCell ref="G28:H28"/>
    <x:mergeCell ref="G29:H29"/>
    <x:mergeCell ref="G30:H30"/>
    <x:mergeCell ref="G33:H33"/>
    <x:mergeCell ref="G34:H34"/>
    <x:mergeCell ref="G36:H36"/>
    <x:mergeCell ref="B52:H52"/>
    <x:mergeCell ref="B54:H54"/>
    <x:mergeCell ref="B56:H56"/>
    <x:mergeCell ref="B58:H58"/>
  </x:mergeCells>
  <x:pageMargins left="0.7" right="0.7" top="0.75" bottom="0.75" header="0.3" footer="0.3"/>
</x:worksheet>
</file>