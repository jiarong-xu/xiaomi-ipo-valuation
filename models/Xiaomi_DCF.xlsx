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77df1419047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CF" sheetId="1" r:id="Rf5992c6910744dbf"/>
    <x:sheet xmlns:r="http://schemas.openxmlformats.org/officeDocument/2006/relationships" name="WACC" sheetId="2" r:id="R598c9552f2a04060"/>
    <x:sheet xmlns:r="http://schemas.openxmlformats.org/officeDocument/2006/relationships" name="Inputs" sheetId="3" r:id="Rcf2a244938c5481b"/>
    <x:sheet xmlns:r="http://schemas.openxmlformats.org/officeDocument/2006/relationships" name="History" sheetId="4" r:id="R4d859dc18e3043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0%"/>
    <x:numFmt numFmtId="201" formatCode="0.00&quot;x&quot;"/>
    <x:numFmt numFmtId="202" formatCode="0.000"/>
    <x:numFmt numFmtId="203" formatCode="#,##0.0;(#,##0.0);&quot;–&quot;"/>
    <x:numFmt numFmtId="204" formatCode="0.0%"/>
    <x:numFmt numFmtId="205" formatCode="#,##0"/>
    <x:numFmt numFmtId="206" formatCode="#,##0.000;(#,##0.000);&quot;–&quot;"/>
    <x:numFmt numFmtId="207" formatCode="0.00"/>
    <x:numFmt numFmtId="208" formatCode="#,##0.0"/>
    <x:numFmt numFmtId="209" formatCode="0"/>
  </x:numFmts>
  <x:fonts count="11">
    <x:font>
      <x:sz val="11"/>
      <x:name val="Carlito"/>
    </x:font>
    <x:font>
      <x:sz val="11"/>
      <x:name val="Arial"/>
    </x:font>
    <x:font>
      <x:b/>
      <x:sz val="11"/>
      <x:name val="Arial"/>
    </x:font>
    <x:font>
      <x:b/>
      <x:sz val="16"/>
      <x:name val="Arial"/>
    </x:font>
    <x:font>
      <x:sz val="11"/>
      <x:color rgb="FF0000FF"/>
      <x:name val="Arial"/>
    </x:font>
    <x:font>
      <x:sz val="11"/>
      <x:color rgb="FFFFFFFF"/>
      <x:name val="Arial"/>
    </x:font>
    <x:font>
      <x:b/>
      <x:sz val="15"/>
      <x:name val="Arial"/>
    </x:font>
    <x:font>
      <x:sz val="11"/>
      <x:color rgb="FF111827"/>
      <x:name val="Arial"/>
    </x:font>
    <x:font>
      <x:sz val="11"/>
      <x:color rgb="FF008000"/>
      <x:name val="Arial"/>
    </x:font>
    <x:font>
      <x:b/>
      <x:sz val="11"/>
      <x:color rgb="FF111827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6"/>
      </x:patternFill>
    </x:fill>
    <x:fill>
      <x:patternFill patternType="solid">
        <x:fgColor rgb="FF203864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03864"/>
      </x:bottom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4" fontId="4" fillId="0" borderId="0" xfId="0" applyNumberFormat="1" applyFont="1" applyFill="1" applyBorder="1"/>
    <x:xf numFmtId="204" fontId="1" fillId="0" borderId="0" xfId="0" applyNumberFormat="1" applyFont="1" applyFill="1" applyBorder="1"/>
    <x:xf numFmtId="202" fontId="1" fillId="0" borderId="0" xfId="0" applyNumberFormat="1" applyFont="1" applyFill="1" applyBorder="1"/>
    <x:xf numFmtId="205" fontId="4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203" fontId="7" fillId="0" borderId="0" xfId="0" applyNumberFormat="1" applyFont="1" applyFill="1" applyBorder="1"/>
    <x:xf numFmtId="203" fontId="1" fillId="0" borderId="0" xfId="0" applyNumberFormat="1" applyFont="1" applyFill="1" applyBorder="1"/>
    <x:xf numFmtId="204" fontId="7" fillId="0" borderId="0" xfId="0" applyNumberFormat="1" applyFont="1" applyFill="1" applyBorder="1"/>
    <x:xf numFmtId="0" fontId="8" fillId="0" borderId="0" xfId="0" applyNumberFormat="1" applyFont="1" applyFill="1" applyBorder="1"/>
    <x:xf numFmtId="200" fontId="8" fillId="0" borderId="0" xfId="0" applyNumberFormat="1" applyFont="1" applyFill="1" applyBorder="1"/>
    <x:xf numFmtId="206" fontId="4" fillId="0" borderId="0" xfId="0" applyNumberFormat="1" applyFont="1" applyFill="1" applyBorder="1"/>
    <x:xf numFmtId="207" fontId="4" fillId="0" borderId="0" xfId="0" applyNumberFormat="1" applyFont="1" applyFill="1" applyBorder="1"/>
    <x:xf numFmtId="208" fontId="7" fillId="0" borderId="0" xfId="0" applyNumberFormat="1" applyFont="1" applyFill="1" applyBorder="1"/>
    <x:xf numFmtId="207" fontId="7" fillId="0" borderId="0" xfId="0" applyNumberFormat="1" applyFont="1" applyFill="1" applyBorder="1"/>
    <x:xf numFmtId="208" fontId="7" fillId="2" borderId="0" xfId="0" applyNumberFormat="1" applyFont="1" applyFill="1" applyBorder="1"/>
    <x:xf numFmtId="207" fontId="7" fillId="2" borderId="0" xfId="0" applyNumberFormat="1" applyFont="1" applyFill="1" applyBorder="1"/>
    <x:xf numFmtId="208" fontId="9" fillId="2" borderId="0" xfId="0" applyNumberFormat="1" applyFont="1" applyFill="1" applyBorder="1"/>
    <x:xf numFmtId="207" fontId="9" fillId="2" borderId="0" xfId="0" applyNumberFormat="1" applyFont="1" applyFill="1" applyBorder="1"/>
    <x:xf numFmtId="203" fontId="8" fillId="0" borderId="0" xfId="0" applyNumberFormat="1" applyFont="1" applyFill="1" applyBorder="1"/>
    <x:xf numFmtId="203" fontId="2" fillId="0" borderId="0" xfId="0" applyNumberFormat="1" applyFont="1" applyFill="1" applyBorder="1"/>
    <x:xf numFmtId="209" fontId="4" fillId="0" borderId="0" xfId="0" applyNumberFormat="1" applyFont="1" applyFill="1" applyBorder="1"/>
    <x:xf numFmtId="202" fontId="8" fillId="0" borderId="0" xfId="0" applyNumberFormat="1" applyFont="1" applyFill="1" applyBorder="1"/>
    <x:xf numFmtId="207" fontId="8" fillId="0" borderId="0" xfId="0" applyNumberFormat="1" applyFont="1" applyFill="1" applyBorder="1"/>
    <x:xf numFmtId="203" fontId="9" fillId="0" borderId="0" xfId="0" applyNumberFormat="1" applyFont="1" applyFill="1" applyBorder="1"/>
    <x:xf numFmtId="207" fontId="9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206" fontId="7" fillId="0" borderId="0" xfId="0" applyNumberFormat="1" applyFont="1" applyFill="1" applyBorder="1"/>
    <x:xf numFmtId="206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d202406daf4bab" /><Relationship Type="http://schemas.openxmlformats.org/officeDocument/2006/relationships/theme" Target="/xl/theme/theme1.xml" Id="R5cc4492ee23a492c" /><Relationship Type="http://schemas.openxmlformats.org/officeDocument/2006/relationships/sharedStrings" Target="/xl/sharedStrings.xml" Id="Rb40a1fac1bd54ebf" /><Relationship Type="http://schemas.openxmlformats.org/officeDocument/2006/relationships/worksheet" Target="/xl/worksheets/sheet1.xml" Id="Rf5992c6910744dbf" /><Relationship Type="http://schemas.openxmlformats.org/officeDocument/2006/relationships/worksheet" Target="/xl/worksheets/sheet2.xml" Id="R598c9552f2a04060" /><Relationship Type="http://schemas.openxmlformats.org/officeDocument/2006/relationships/worksheet" Target="/xl/worksheets/sheet3.xml" Id="Rcf2a244938c5481b" /><Relationship Type="http://schemas.openxmlformats.org/officeDocument/2006/relationships/worksheet" Target="/xl/worksheets/sheet4.xml" Id="R4d859dc18e3043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3" customHeight="1">
      <x:c r="A2" s="1"/>
      <x:c r="B2" s="3" t="str">
        <x:v>Xiaomi — Discounted Cash Flow</x:v>
      </x:c>
      <x:c r="C2" s="3"/>
      <x:c r="D2" s="3"/>
      <x:c r="E2" s="3"/>
      <x:c r="F2" s="3"/>
      <x:c r="G2" s="3"/>
      <x:c r="H2" s="3"/>
      <x:c r="I2" s="3"/>
    </x:row>
    <x:row r="3" ht="38" customHeight="1">
      <x:c r="A3" s="1"/>
      <x:c r="B3" s="5" t="str">
        <x:v>Jiarong Xu | RMB millions | Baseline: 31 December 2017. End-year discounting. Illustrative historical estimate with explicit reinvestment proxies.</x:v>
      </x:c>
      <x:c r="C3" s="5"/>
      <x:c r="D3" s="5"/>
      <x:c r="E3" s="5"/>
      <x:c r="F3" s="5"/>
      <x:c r="G3" s="5"/>
      <x:c r="H3" s="5"/>
      <x:c r="I3" s="5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23" customHeight="1">
      <x:c r="A5" s="1"/>
      <x:c r="B5" s="1" t="str">
        <x:v>WACC</x:v>
      </x:c>
      <x:c r="C5" s="28" t="n">
        <x:f>'Inputs'!C6</x:f>
        <x:v>0.08598840179488604</x:v>
      </x:c>
      <x:c r="D5" s="1"/>
      <x:c r="E5" s="1"/>
      <x:c r="F5" s="1"/>
      <x:c r="G5" s="1"/>
      <x:c r="H5" s="1"/>
      <x:c r="I5" s="1"/>
    </x:row>
    <x:row r="6" ht="23" customHeight="1">
      <x:c r="A6" s="1"/>
      <x:c r="B6" s="9" t="str">
        <x:v>DCF enterprise value</x:v>
      </x:c>
      <x:c r="C6" s="35" t="n">
        <x:f>C50</x:f>
        <x:v>141111.03707888085</x:v>
      </x:c>
      <x:c r="D6" s="1"/>
      <x:c r="E6" s="1"/>
      <x:c r="F6" s="1"/>
      <x:c r="G6" s="1"/>
      <x:c r="H6" s="1"/>
      <x:c r="I6" s="1"/>
    </x:row>
    <x:row r="7" ht="23" customHeight="1">
      <x:c r="A7" s="1"/>
      <x:c r="B7" s="9" t="str">
        <x:v>Illustrative equity value</x:v>
      </x:c>
      <x:c r="C7" s="35" t="n">
        <x:f>C57</x:f>
        <x:v>141759.20007888085</x:v>
      </x:c>
      <x:c r="D7" s="1"/>
      <x:c r="E7" s="1"/>
      <x:c r="F7" s="1"/>
      <x:c r="G7" s="1"/>
      <x:c r="H7" s="1"/>
      <x:c r="I7" s="1"/>
    </x:row>
    <x:row r="8" ht="23" customHeight="1">
      <x:c r="A8" s="1"/>
      <x:c r="B8" s="9" t="str">
        <x:v>Illustrative equity reference (HK$/share)</x:v>
      </x:c>
      <x:c r="C8" s="36" t="n">
        <x:f>C60</x:f>
        <x:v>5.73663876027557</x:v>
      </x:c>
      <x:c r="D8" s="1"/>
      <x:c r="E8" s="1"/>
      <x:c r="F8" s="1"/>
      <x:c r="G8" s="1"/>
      <x:c r="H8" s="1"/>
      <x:c r="I8" s="1"/>
    </x:row>
    <x:row r="9" ht="23" customHeight="1">
      <x:c r="A9" s="1"/>
      <x:c r="B9" s="1" t="str">
        <x:v>PV terminal value / enterprise value</x:v>
      </x:c>
      <x:c r="C9" s="26" t="n">
        <x:f>C51</x:f>
        <x:v>0.7626317782661617</x:v>
      </x:c>
      <x:c r="D9" s="1"/>
      <x:c r="E9" s="1"/>
      <x:c r="F9" s="1"/>
      <x:c r="G9" s="1"/>
      <x:c r="H9" s="1"/>
      <x:c r="I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</x:row>
    <x:row r="11" ht="38" customHeight="1">
      <x:c r="A11" s="1"/>
      <x:c r="B11" s="5" t="str">
        <x:v>Forecast growth: smartphones 6.9%, IoT 21.3%, internet 15.9%. WACC recalculates live on the WACC tab. Inputs explains the simplified capital investment and working-capital estimates.</x:v>
      </x:c>
      <x:c r="C11" s="5"/>
      <x:c r="D11" s="5"/>
      <x:c r="E11" s="5"/>
      <x:c r="F11" s="5"/>
      <x:c r="G11" s="5"/>
      <x:c r="H11" s="5"/>
      <x:c r="I11" s="5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23" customHeight="1">
      <x:c r="A14" s="1"/>
      <x:c r="B14" s="15"/>
      <x:c r="C14" s="15" t="str">
        <x:v>2017A</x:v>
      </x:c>
      <x:c r="D14" s="15" t="str">
        <x:v>2018F</x:v>
      </x:c>
      <x:c r="E14" s="15" t="str">
        <x:v>2019F</x:v>
      </x:c>
      <x:c r="F14" s="15" t="str">
        <x:v>2020F</x:v>
      </x:c>
      <x:c r="G14" s="15" t="str">
        <x:v>2021F</x:v>
      </x:c>
      <x:c r="H14" s="15" t="str">
        <x:v>2022F</x:v>
      </x:c>
      <x:c r="I14" s="15" t="str">
        <x:v>2023 terminal</x:v>
      </x:c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</x:row>
    <x:row r="16" ht="23" customHeight="1">
      <x:c r="A16" s="1"/>
      <x:c r="B16" s="1" t="str">
        <x:v>Smartphone revenue</x:v>
      </x:c>
      <x:c r="C16" s="37" t="n">
        <x:f>'History'!E6</x:f>
        <x:v>80563.594</x:v>
      </x:c>
      <x:c r="D16" s="37" t="n">
        <x:f>C16*(1+'Inputs'!$C$9)</x:f>
        <x:v>86122.481986</x:v>
      </x:c>
      <x:c r="E16" s="37" t="n">
        <x:f>D16*(1+'Inputs'!$C$9)</x:f>
        <x:v>92064.933243034</x:v>
      </x:c>
      <x:c r="F16" s="37" t="n">
        <x:f>E16*(1+'Inputs'!$C$9)</x:f>
        <x:v>98417.41363680334</x:v>
      </x:c>
      <x:c r="G16" s="37" t="n">
        <x:f>F16*(1+'Inputs'!$C$9)</x:f>
        <x:v>105208.21517774276</x:v>
      </x:c>
      <x:c r="H16" s="37" t="n">
        <x:f>G16*(1+'Inputs'!$C$9)</x:f>
        <x:v>112467.58202500701</x:v>
      </x:c>
      <x:c r="I16" s="37" t="n">
        <x:f>H16*(1+'Inputs'!$C$8)</x:f>
        <x:v>115279.27157563217</x:v>
      </x:c>
    </x:row>
    <x:row r="17" ht="23" customHeight="1">
      <x:c r="A17" s="1"/>
      <x:c r="B17" s="1" t="str">
        <x:v>IoT / lifestyle revenue</x:v>
      </x:c>
      <x:c r="C17" s="37" t="n">
        <x:f>'History'!E7</x:f>
        <x:v>23447.823</x:v>
      </x:c>
      <x:c r="D17" s="37" t="n">
        <x:f>C17*(1+'Inputs'!$C$10)</x:f>
        <x:v>28442.209299000002</x:v>
      </x:c>
      <x:c r="E17" s="37" t="n">
        <x:f>D17*(1+'Inputs'!$C$10)</x:f>
        <x:v>34500.39987968701</x:v>
      </x:c>
      <x:c r="F17" s="37" t="n">
        <x:f>E17*(1+'Inputs'!$C$10)</x:f>
        <x:v>41848.985054060344</x:v>
      </x:c>
      <x:c r="G17" s="37" t="n">
        <x:f>F17*(1+'Inputs'!$C$10)</x:f>
        <x:v>50762.8188705752</x:v>
      </x:c>
      <x:c r="H17" s="37" t="n">
        <x:f>G17*(1+'Inputs'!$C$10)</x:f>
        <x:v>61575.29929000772</x:v>
      </x:c>
      <x:c r="I17" s="37" t="n">
        <x:f>H17*(1+'Inputs'!$C$8)</x:f>
        <x:v>63114.68177225791</x:v>
      </x:c>
    </x:row>
    <x:row r="18" ht="23" customHeight="1">
      <x:c r="A18" s="1"/>
      <x:c r="B18" s="1" t="str">
        <x:v>Internet-services revenue</x:v>
      </x:c>
      <x:c r="C18" s="37" t="n">
        <x:f>'History'!E8</x:f>
        <x:v>9896.389</x:v>
      </x:c>
      <x:c r="D18" s="37" t="n">
        <x:f>C18*(1+'Inputs'!$C$11)</x:f>
        <x:v>11469.914851</x:v>
      </x:c>
      <x:c r="E18" s="37" t="n">
        <x:f>D18*(1+'Inputs'!$C$11)</x:f>
        <x:v>13293.631312309</x:v>
      </x:c>
      <x:c r="F18" s="37" t="n">
        <x:f>E18*(1+'Inputs'!$C$11)</x:f>
        <x:v>15407.318690966133</x:v>
      </x:c>
      <x:c r="G18" s="37" t="n">
        <x:f>F18*(1+'Inputs'!$C$11)</x:f>
        <x:v>17857.082362829748</x:v>
      </x:c>
      <x:c r="H18" s="37" t="n">
        <x:f>G18*(1+'Inputs'!$C$11)</x:f>
        <x:v>20696.358458519677</x:v>
      </x:c>
      <x:c r="I18" s="37" t="n">
        <x:f>H18*(1+'Inputs'!$C$8)</x:f>
        <x:v>21213.767419982665</x:v>
      </x:c>
    </x:row>
    <x:row r="19" ht="23" customHeight="1">
      <x:c r="A19" s="1"/>
      <x:c r="B19" s="2" t="str">
        <x:v>Three-segment revenue</x:v>
      </x:c>
      <x:c r="C19" s="42" t="n">
        <x:f>SUM(C16:C18)</x:f>
        <x:v>113907.806</x:v>
      </x:c>
      <x:c r="D19" s="42" t="n">
        <x:f>SUM(D16:D18)</x:f>
        <x:v>126034.606136</x:v>
      </x:c>
      <x:c r="E19" s="42" t="n">
        <x:f>SUM(E16:E18)</x:f>
        <x:v>139858.96443503</x:v>
      </x:c>
      <x:c r="F19" s="42" t="n">
        <x:f>SUM(F16:F18)</x:f>
        <x:v>155673.71738182983</x:v>
      </x:c>
      <x:c r="G19" s="42" t="n">
        <x:f>SUM(G16:G18)</x:f>
        <x:v>173828.1164111477</x:v>
      </x:c>
      <x:c r="H19" s="42" t="n">
        <x:f>SUM(H16:H18)</x:f>
        <x:v>194739.2397735344</x:v>
      </x:c>
      <x:c r="I19" s="42" t="n">
        <x:f>SUM(I16:I18)</x:f>
        <x:v>199607.72076787276</x:v>
      </x:c>
    </x:row>
    <x:row r="20" ht="23" customHeight="1">
      <x:c r="A20" s="1"/>
      <x:c r="B20" s="1"/>
      <x:c r="C20" s="25"/>
      <x:c r="D20" s="25"/>
      <x:c r="E20" s="25"/>
      <x:c r="F20" s="25"/>
      <x:c r="G20" s="25"/>
      <x:c r="H20" s="25"/>
      <x:c r="I20" s="25"/>
    </x:row>
    <x:row r="21" ht="23" customHeight="1">
      <x:c r="A21" s="1"/>
      <x:c r="B21" s="1" t="str">
        <x:v>Smartphone cost of sales</x:v>
      </x:c>
      <x:c r="C21" s="37" t="n">
        <x:f>'History'!E12</x:f>
        <x:v>73462.255</x:v>
      </x:c>
      <x:c r="D21" s="37" t="n">
        <x:f>D16*'Inputs'!$C$31</x:f>
        <x:v>78531.150595</x:v>
      </x:c>
      <x:c r="E21" s="37" t="n">
        <x:f>E16*'Inputs'!$C$31</x:f>
        <x:v>83949.799986055</x:v>
      </x:c>
      <x:c r="F21" s="37" t="n">
        <x:f>F16*'Inputs'!$C$31</x:f>
        <x:v>89742.33618509279</x:v>
      </x:c>
      <x:c r="G21" s="37" t="n">
        <x:f>G16*'Inputs'!$C$31</x:f>
        <x:v>95934.55738186419</x:v>
      </x:c>
      <x:c r="H21" s="37" t="n">
        <x:f>H16*'Inputs'!$C$31</x:f>
        <x:v>102554.04184121282</x:v>
      </x:c>
      <x:c r="I21" s="37" t="n">
        <x:f>I16*'Inputs'!$C$31</x:f>
        <x:v>105117.89288724313</x:v>
      </x:c>
    </x:row>
    <x:row r="22" ht="23" customHeight="1">
      <x:c r="A22" s="1"/>
      <x:c r="B22" s="1" t="str">
        <x:v>IoT cost of sales</x:v>
      </x:c>
      <x:c r="C22" s="37" t="n">
        <x:f>'History'!E13</x:f>
        <x:v>21496.958</x:v>
      </x:c>
      <x:c r="D22" s="37" t="n">
        <x:f>D17*'Inputs'!$C$32</x:f>
        <x:v>26075.810053999998</x:v>
      </x:c>
      <x:c r="E22" s="37" t="n">
        <x:f>E17*'Inputs'!$C$32</x:f>
        <x:v>31629.957595502005</x:v>
      </x:c>
      <x:c r="F22" s="37" t="n">
        <x:f>F17*'Inputs'!$C$32</x:f>
        <x:v>38367.138563343935</x:v>
      </x:c>
      <x:c r="G22" s="37" t="n">
        <x:f>G17*'Inputs'!$C$32</x:f>
        <x:v>46539.3390773362</x:v>
      </x:c>
      <x:c r="H22" s="37" t="n">
        <x:f>H17*'Inputs'!$C$32</x:f>
        <x:v>56452.21830080881</x:v>
      </x:c>
      <x:c r="I22" s="37" t="n">
        <x:f>I17*'Inputs'!$C$32</x:f>
        <x:v>57863.52375832902</x:v>
      </x:c>
    </x:row>
    <x:row r="23" ht="23" customHeight="1">
      <x:c r="A23" s="1"/>
      <x:c r="B23" s="1" t="str">
        <x:v>Internet cost of sales</x:v>
      </x:c>
      <x:c r="C23" s="37" t="n">
        <x:f>'History'!E14</x:f>
        <x:v>3935.638</x:v>
      </x:c>
      <x:c r="D23" s="37" t="n">
        <x:f>D18*'Inputs'!$C$33</x:f>
        <x:v>4561.404442</x:v>
      </x:c>
      <x:c r="E23" s="37" t="n">
        <x:f>E18*'Inputs'!$C$33</x:f>
        <x:v>5286.6677482780005</x:v>
      </x:c>
      <x:c r="F23" s="37" t="n">
        <x:f>F18*'Inputs'!$C$33</x:f>
        <x:v>6127.247920254203</x:v>
      </x:c>
      <x:c r="G23" s="37" t="n">
        <x:f>G18*'Inputs'!$C$33</x:f>
        <x:v>7101.480339574621</x:v>
      </x:c>
      <x:c r="H23" s="37" t="n">
        <x:f>H18*'Inputs'!$C$33</x:f>
        <x:v>8230.615713566986</x:v>
      </x:c>
      <x:c r="I23" s="37" t="n">
        <x:f>I18*'Inputs'!$C$33</x:f>
        <x:v>8436.38110640616</x:v>
      </x:c>
    </x:row>
    <x:row r="24" ht="23" customHeight="1">
      <x:c r="A24" s="1"/>
      <x:c r="B24" s="1" t="str">
        <x:v>Total cost of sales</x:v>
      </x:c>
      <x:c r="C24" s="24" t="n">
        <x:f>SUM(C21:C23)</x:f>
        <x:v>98894.85100000001</x:v>
      </x:c>
      <x:c r="D24" s="24" t="n">
        <x:f>SUM(D21:D23)</x:f>
        <x:v>109168.365091</x:v>
      </x:c>
      <x:c r="E24" s="24" t="n">
        <x:f>SUM(E21:E23)</x:f>
        <x:v>120866.42532983501</x:v>
      </x:c>
      <x:c r="F24" s="24" t="n">
        <x:f>SUM(F21:F23)</x:f>
        <x:v>134236.72266869093</x:v>
      </x:c>
      <x:c r="G24" s="24" t="n">
        <x:f>SUM(G21:G23)</x:f>
        <x:v>149575.37679877502</x:v>
      </x:c>
      <x:c r="H24" s="24" t="n">
        <x:f>SUM(H21:H23)</x:f>
        <x:v>167236.87585558862</x:v>
      </x:c>
      <x:c r="I24" s="24" t="n">
        <x:f>SUM(I21:I23)</x:f>
        <x:v>171417.7977519783</x:v>
      </x:c>
    </x:row>
    <x:row r="25" ht="23" customHeight="1">
      <x:c r="A25" s="1"/>
      <x:c r="B25" s="2" t="str">
        <x:v>Gross profit</x:v>
      </x:c>
      <x:c r="C25" s="42" t="n">
        <x:f>C19-C24</x:f>
        <x:v>15012.954999999987</x:v>
      </x:c>
      <x:c r="D25" s="42" t="n">
        <x:f>D19-D24</x:f>
        <x:v>16866.241045000002</x:v>
      </x:c>
      <x:c r="E25" s="42" t="n">
        <x:f>E19-E24</x:f>
        <x:v>18992.539105195</x:v>
      </x:c>
      <x:c r="F25" s="42" t="n">
        <x:f>F19-F24</x:f>
        <x:v>21436.994713138905</x:v>
      </x:c>
      <x:c r="G25" s="42" t="n">
        <x:f>G19-G24</x:f>
        <x:v>24252.73961237268</x:v>
      </x:c>
      <x:c r="H25" s="42" t="n">
        <x:f>H19-H24</x:f>
        <x:v>27502.363917945797</x:v>
      </x:c>
      <x:c r="I25" s="42" t="n">
        <x:f>I19-I24</x:f>
        <x:v>28189.923015894456</x:v>
      </x:c>
    </x:row>
    <x:row r="26" ht="23" customHeight="1">
      <x:c r="A26" s="1"/>
      <x:c r="B26" s="1"/>
      <x:c r="C26" s="25"/>
      <x:c r="D26" s="25"/>
      <x:c r="E26" s="25"/>
      <x:c r="F26" s="25"/>
      <x:c r="G26" s="25"/>
      <x:c r="H26" s="25"/>
      <x:c r="I26" s="25"/>
    </x:row>
    <x:row r="27" ht="23" customHeight="1">
      <x:c r="A27" s="1"/>
      <x:c r="B27" s="1" t="str">
        <x:v>Selling and marketing</x:v>
      </x:c>
      <x:c r="C27" s="37" t="n">
        <x:f>'History'!E18</x:f>
        <x:v>5231.54</x:v>
      </x:c>
      <x:c r="D27" s="37" t="n">
        <x:f>D19*'Inputs'!$C$12</x:f>
        <x:v>4975.5845183247475</x:v>
      </x:c>
      <x:c r="E27" s="37" t="n">
        <x:f>E19*'Inputs'!$C$12</x:f>
        <x:v>5521.341475379899</x:v>
      </x:c>
      <x:c r="F27" s="37" t="n">
        <x:f>F19*'Inputs'!$C$12</x:f>
        <x:v>6145.675079741852</x:v>
      </x:c>
      <x:c r="G27" s="37" t="n">
        <x:f>G19*'Inputs'!$C$12</x:f>
        <x:v>6862.373052775487</x:v>
      </x:c>
      <x:c r="H27" s="37" t="n">
        <x:f>H19*'Inputs'!$C$12</x:f>
        <x:v>7687.900777679855</x:v>
      </x:c>
      <x:c r="I27" s="37" t="n">
        <x:f>I19*'Inputs'!$C$12</x:f>
        <x:v>7880.098297121851</x:v>
      </x:c>
    </x:row>
    <x:row r="28" ht="23" customHeight="1">
      <x:c r="A28" s="1"/>
      <x:c r="B28" s="1" t="str">
        <x:v>Administrative expenses</x:v>
      </x:c>
      <x:c r="C28" s="37" t="n">
        <x:f>'History'!E19</x:f>
        <x:v>1216.11</x:v>
      </x:c>
      <x:c r="D28" s="37" t="n">
        <x:f>D19*'Inputs'!$C$13</x:f>
        <x:v>1496.5273945185465</x:v>
      </x:c>
      <x:c r="E28" s="37" t="n">
        <x:f>E19*'Inputs'!$C$13</x:f>
        <x:v>1660.6770002531325</x:v>
      </x:c>
      <x:c r="F28" s="37" t="n">
        <x:f>F19*'Inputs'!$C$13</x:f>
        <x:v>1848.4604332960405</x:v>
      </x:c>
      <x:c r="G28" s="37" t="n">
        <x:f>G19*'Inputs'!$C$13</x:f>
        <x:v>2064.0246843484724</x:v>
      </x:c>
      <x:c r="H28" s="37" t="n">
        <x:f>H19*'Inputs'!$C$13</x:f>
        <x:v>2312.322115676183</x:v>
      </x:c>
      <x:c r="I28" s="37" t="n">
        <x:f>I19*'Inputs'!$C$13</x:f>
        <x:v>2370.1301685680874</x:v>
      </x:c>
    </x:row>
    <x:row r="29" ht="23" customHeight="1">
      <x:c r="A29" s="1"/>
      <x:c r="B29" s="1" t="str">
        <x:v>Research and development</x:v>
      </x:c>
      <x:c r="C29" s="37" t="n">
        <x:f>'History'!E20</x:f>
        <x:v>3151.401</x:v>
      </x:c>
      <x:c r="D29" s="37" t="n">
        <x:f>D19*'Inputs'!$C$14</x:f>
        <x:v>3397.4530920774628</x:v>
      </x:c>
      <x:c r="E29" s="37" t="n">
        <x:f>E19*'Inputs'!$C$14</x:f>
        <x:v>3770.109541674686</x:v>
      </x:c>
      <x:c r="F29" s="37" t="n">
        <x:f>F19*'Inputs'!$C$14</x:f>
        <x:v>4196.420084047215</x:v>
      </x:c>
      <x:c r="G29" s="37" t="n">
        <x:f>G19*'Inputs'!$C$14</x:f>
        <x:v>4685.799318909175</x:v>
      </x:c>
      <x:c r="H29" s="37" t="n">
        <x:f>H19*'Inputs'!$C$14</x:f>
        <x:v>5249.490220197762</x:v>
      </x:c>
      <x:c r="I29" s="37" t="n">
        <x:f>I19*'Inputs'!$C$14</x:f>
        <x:v>5380.727475702706</x:v>
      </x:c>
    </x:row>
    <x:row r="30" ht="23" customHeight="1">
      <x:c r="A30" s="1"/>
      <x:c r="B30" s="2" t="str">
        <x:v>Core EBIT proxy</x:v>
      </x:c>
      <x:c r="C30" s="42" t="n">
        <x:f>C25-SUM(C27:C29)</x:f>
        <x:v>5413.903999999988</x:v>
      </x:c>
      <x:c r="D30" s="42" t="n">
        <x:f>D25-SUM(D27:D29)</x:f>
        <x:v>6996.676040079246</x:v>
      </x:c>
      <x:c r="E30" s="42" t="n">
        <x:f>E25-SUM(E27:E29)</x:f>
        <x:v>8040.411087887282</x:v>
      </x:c>
      <x:c r="F30" s="42" t="n">
        <x:f>F25-SUM(F27:F29)</x:f>
        <x:v>9246.439116053798</x:v>
      </x:c>
      <x:c r="G30" s="42" t="n">
        <x:f>G25-SUM(G27:G29)</x:f>
        <x:v>10640.542556339544</x:v>
      </x:c>
      <x:c r="H30" s="42" t="n">
        <x:f>H25-SUM(H27:H29)</x:f>
        <x:v>12252.650804391997</x:v>
      </x:c>
      <x:c r="I30" s="42" t="n">
        <x:f>I25-SUM(I27:I29)</x:f>
        <x:v>12558.96707450181</x:v>
      </x:c>
    </x:row>
    <x:row r="31" ht="23" customHeight="1">
      <x:c r="A31" s="1"/>
      <x:c r="B31" s="1" t="str">
        <x:v>Cash operating taxes</x:v>
      </x:c>
      <x:c r="C31" s="37" t="n">
        <x:f>MAX(C30,0)*'Inputs'!$C$7</x:f>
        <x:v>1353.475999999997</x:v>
      </x:c>
      <x:c r="D31" s="37" t="n">
        <x:f>MAX(D30,0)*'Inputs'!$C$7</x:f>
        <x:v>1749.1690100198116</x:v>
      </x:c>
      <x:c r="E31" s="37" t="n">
        <x:f>MAX(E30,0)*'Inputs'!$C$7</x:f>
        <x:v>2010.1027719718204</x:v>
      </x:c>
      <x:c r="F31" s="37" t="n">
        <x:f>MAX(F30,0)*'Inputs'!$C$7</x:f>
        <x:v>2311.6097790134495</x:v>
      </x:c>
      <x:c r="G31" s="37" t="n">
        <x:f>MAX(G30,0)*'Inputs'!$C$7</x:f>
        <x:v>2660.135639084886</x:v>
      </x:c>
      <x:c r="H31" s="37" t="n">
        <x:f>MAX(H30,0)*'Inputs'!$C$7</x:f>
        <x:v>3063.162701097999</x:v>
      </x:c>
      <x:c r="I31" s="37" t="n">
        <x:f>MAX(I30,0)*'Inputs'!$C$7</x:f>
        <x:v>3139.7417686254526</x:v>
      </x:c>
    </x:row>
    <x:row r="32" ht="23" customHeight="1">
      <x:c r="A32" s="1"/>
      <x:c r="B32" s="2" t="str">
        <x:v>NOPAT</x:v>
      </x:c>
      <x:c r="C32" s="42" t="n">
        <x:f>C30-C31</x:f>
        <x:v>4060.427999999991</x:v>
      </x:c>
      <x:c r="D32" s="42" t="n">
        <x:f>D30-D31</x:f>
        <x:v>5247.507030059434</x:v>
      </x:c>
      <x:c r="E32" s="42" t="n">
        <x:f>E30-E31</x:f>
        <x:v>6030.308315915461</x:v>
      </x:c>
      <x:c r="F32" s="42" t="n">
        <x:f>F30-F31</x:f>
        <x:v>6934.829337040348</x:v>
      </x:c>
      <x:c r="G32" s="42" t="n">
        <x:f>G30-G31</x:f>
        <x:v>7980.406917254658</x:v>
      </x:c>
      <x:c r="H32" s="42" t="n">
        <x:f>H30-H31</x:f>
        <x:v>9189.488103293997</x:v>
      </x:c>
      <x:c r="I32" s="42" t="n">
        <x:f>I30-I31</x:f>
        <x:v>9419.225305876358</x:v>
      </x:c>
    </x:row>
    <x:row r="33" ht="23" customHeight="1">
      <x:c r="A33" s="1"/>
      <x:c r="B33" s="1"/>
      <x:c r="C33" s="25"/>
      <x:c r="D33" s="25"/>
      <x:c r="E33" s="25"/>
      <x:c r="F33" s="25"/>
      <x:c r="G33" s="25"/>
      <x:c r="H33" s="25"/>
      <x:c r="I33" s="25"/>
    </x:row>
    <x:row r="34" ht="23" customHeight="1">
      <x:c r="A34" s="1"/>
      <x:c r="B34" s="1" t="str">
        <x:v>Depreciation and amortization</x:v>
      </x:c>
      <x:c r="C34" s="37" t="n">
        <x:f>'History'!E24</x:f>
        <x:v>360.956</x:v>
      </x:c>
      <x:c r="D34" s="37" t="n">
        <x:f>D19*'Inputs'!$C$15</x:f>
        <x:v>409.47423456637614</x:v>
      </x:c>
      <x:c r="E34" s="37" t="n">
        <x:f>E19*'Inputs'!$C$15</x:f>
        <x:v>454.38823641407765</x:v>
      </x:c>
      <x:c r="F34" s="37" t="n">
        <x:f>F19*'Inputs'!$C$15</x:f>
        <x:v>505.76883779239625</x:v>
      </x:c>
      <x:c r="G34" s="37" t="n">
        <x:f>G19*'Inputs'!$C$15</x:f>
        <x:v>564.7507228035729</x:v>
      </x:c>
      <x:c r="H34" s="37" t="n">
        <x:f>H19*'Inputs'!$C$15</x:f>
        <x:v>632.6889383084222</x:v>
      </x:c>
      <x:c r="I34" s="37" t="n">
        <x:f>I19*'Inputs'!$C$15</x:f>
        <x:v>648.5061617661327</x:v>
      </x:c>
    </x:row>
    <x:row r="35" ht="23" customHeight="1">
      <x:c r="A35" s="1"/>
      <x:c r="B35" s="1" t="str">
        <x:v>Selected net fixed assets</x:v>
      </x:c>
      <x:c r="C35" s="37" t="n">
        <x:f>'History'!E28</x:f>
        <x:v>4005.224</x:v>
      </x:c>
      <x:c r="D35" s="37" t="n">
        <x:f>D19*'Inputs'!$C$16</x:f>
        <x:v>4431.6263042276005</x:v>
      </x:c>
      <x:c r="E35" s="37" t="n">
        <x:f>E19*'Inputs'!$C$16</x:f>
        <x:v>4917.718114685912</x:v>
      </x:c>
      <x:c r="F35" s="37" t="n">
        <x:f>F19*'Inputs'!$C$16</x:f>
        <x:v>5473.796142003842</x:v>
      </x:c>
      <x:c r="G35" s="37" t="n">
        <x:f>G19*'Inputs'!$C$16</x:f>
        <x:v>6112.140758155966</x:v>
      </x:c>
      <x:c r="H35" s="37" t="n">
        <x:f>H19*'Inputs'!$C$16</x:f>
        <x:v>6847.417260259711</x:v>
      </x:c>
      <x:c r="I35" s="37" t="n">
        <x:f>I19*'Inputs'!$C$16</x:f>
        <x:v>7018.602691766203</x:v>
      </x:c>
    </x:row>
    <x:row r="36" ht="23" customHeight="1">
      <x:c r="A36" s="1"/>
      <x:c r="B36" s="1" t="str">
        <x:v>Estimated capital expenditure</x:v>
      </x:c>
      <x:c r="C36" s="37" t="n">
        <x:f>C35-'History'!D28+C34</x:f>
        <x:v>2397.67</x:v>
      </x:c>
      <x:c r="D36" s="24" t="n">
        <x:f>D35-C35+D34</x:f>
        <x:v>835.8765387939765</x:v>
      </x:c>
      <x:c r="E36" s="24" t="n">
        <x:f>E35-D35+E34</x:f>
        <x:v>940.4800468723893</x:v>
      </x:c>
      <x:c r="F36" s="24" t="n">
        <x:f>F35-E35+F34</x:f>
        <x:v>1061.846865110326</x:v>
      </x:c>
      <x:c r="G36" s="24" t="n">
        <x:f>G35-F35+G34</x:f>
        <x:v>1203.0953389556971</x:v>
      </x:c>
      <x:c r="H36" s="24" t="n">
        <x:f>H35-G35+H34</x:f>
        <x:v>1367.965440412167</x:v>
      </x:c>
      <x:c r="I36" s="24" t="n">
        <x:f>I35-H35+I34</x:f>
        <x:v>819.6915932726247</x:v>
      </x:c>
    </x:row>
    <x:row r="37" ht="23" customHeight="1">
      <x:c r="A37" s="1"/>
      <x:c r="B37" s="1" t="str">
        <x:v>Selected trade working capital</x:v>
      </x:c>
      <x:c r="C37" s="37" t="n">
        <x:f>'History'!E34</x:f>
        <x:v>-15581.546</x:v>
      </x:c>
      <x:c r="D37" s="37" t="n">
        <x:f>D19*'Inputs'!$C$17</x:f>
        <x:v>-17240.381340502394</x:v>
      </x:c>
      <x:c r="E37" s="37" t="n">
        <x:f>E19*'Inputs'!$C$17</x:f>
        <x:v>-19131.42711094606</x:v>
      </x:c>
      <x:c r="F37" s="37" t="n">
        <x:f>F19*'Inputs'!$C$17</x:f>
        <x:v>-21294.740664006655</x:v>
      </x:c>
      <x:c r="G37" s="37" t="n">
        <x:f>G19*'Inputs'!$C$17</x:f>
        <x:v>-23778.096401520128</x:v>
      </x:c>
      <x:c r="H37" s="37" t="n">
        <x:f>H19*'Inputs'!$C$17</x:f>
        <x:v>-26638.546813344437</x:v>
      </x:c>
      <x:c r="I37" s="37" t="n">
        <x:f>I19*'Inputs'!$C$17</x:f>
        <x:v>-27304.510483678045</x:v>
      </x:c>
    </x:row>
    <x:row r="38" ht="23" customHeight="1">
      <x:c r="A38" s="1"/>
      <x:c r="B38" s="1" t="str">
        <x:v>Change in trade working capital</x:v>
      </x:c>
      <x:c r="C38" s="37" t="n">
        <x:f>C37-'History'!D34</x:f>
        <x:v>-6635.530000000001</x:v>
      </x:c>
      <x:c r="D38" s="24" t="n">
        <x:f>D37-C37</x:f>
        <x:v>-1658.8353405023936</x:v>
      </x:c>
      <x:c r="E38" s="24" t="n">
        <x:f>E37-D37</x:f>
        <x:v>-1891.0457704436667</x:v>
      </x:c>
      <x:c r="F38" s="24" t="n">
        <x:f>F37-E37</x:f>
        <x:v>-2163.313553060594</x:v>
      </x:c>
      <x:c r="G38" s="24" t="n">
        <x:f>G37-F37</x:f>
        <x:v>-2483.3557375134733</x:v>
      </x:c>
      <x:c r="H38" s="24" t="n">
        <x:f>H37-G37</x:f>
        <x:v>-2860.4504118243094</x:v>
      </x:c>
      <x:c r="I38" s="24" t="n">
        <x:f>I37-H37</x:f>
        <x:v>-665.9636703336073</x:v>
      </x:c>
    </x:row>
    <x:row r="39" ht="23" customHeight="1">
      <x:c r="A39" s="1"/>
      <x:c r="B39" s="2" t="str">
        <x:v>Free cash flow to firm</x:v>
      </x:c>
      <x:c r="C39" s="42" t="n">
        <x:f>C32+C34-C36-C38</x:f>
        <x:v>8659.243999999992</x:v>
      </x:c>
      <x:c r="D39" s="42" t="n">
        <x:f>D32+D34-D36-D38</x:f>
        <x:v>6479.940066334228</x:v>
      </x:c>
      <x:c r="E39" s="42" t="n">
        <x:f>E32+E34-E36-E38</x:f>
        <x:v>7435.262275900815</x:v>
      </x:c>
      <x:c r="F39" s="42" t="n">
        <x:f>F32+F34-F36-F38</x:f>
        <x:v>8542.064862783012</x:v>
      </x:c>
      <x:c r="G39" s="42" t="n">
        <x:f>G32+G34-G36-G38</x:f>
        <x:v>9825.418038616008</x:v>
      </x:c>
      <x:c r="H39" s="42" t="n">
        <x:f>H32+H34-H36-H38</x:f>
        <x:v>11314.662013014562</x:v>
      </x:c>
      <x:c r="I39" s="42" t="n">
        <x:f>I32+I34-I36-I38</x:f>
        <x:v>9914.003544703473</x:v>
      </x:c>
    </x:row>
    <x:row r="40" ht="23" customHeight="1">
      <x:c r="A40" s="1"/>
      <x:c r="B40" s="1"/>
      <x:c r="C40" s="25"/>
      <x:c r="D40" s="25"/>
      <x:c r="E40" s="25"/>
      <x:c r="F40" s="25"/>
      <x:c r="G40" s="25"/>
      <x:c r="H40" s="25"/>
      <x:c r="I40" s="25"/>
    </x:row>
    <x:row r="41" ht="23" customHeight="1">
      <x:c r="A41" s="1"/>
      <x:c r="B41" s="1" t="str">
        <x:v>Discount period (years)</x:v>
      </x:c>
      <x:c r="C41" s="25"/>
      <x:c r="D41" s="39" t="n">
        <x:v>1</x:v>
      </x:c>
      <x:c r="E41" s="39" t="n">
        <x:v>2</x:v>
      </x:c>
      <x:c r="F41" s="39" t="n">
        <x:v>3</x:v>
      </x:c>
      <x:c r="G41" s="39" t="n">
        <x:v>4</x:v>
      </x:c>
      <x:c r="H41" s="39" t="n">
        <x:v>5</x:v>
      </x:c>
      <x:c r="I41" s="25"/>
    </x:row>
    <x:row r="42" ht="23" customHeight="1">
      <x:c r="A42" s="1"/>
      <x:c r="B42" s="1" t="str">
        <x:v>Discount factor</x:v>
      </x:c>
      <x:c r="C42" s="25"/>
      <x:c r="D42" s="40" t="n">
        <x:f>1/(1+'Inputs'!$C$6)^D41</x:f>
        <x:v>0.9208201472016025</x:v>
      </x:c>
      <x:c r="E42" s="40" t="n">
        <x:f>1/(1+'Inputs'!$C$6)^E41</x:f>
        <x:v>0.8479097434923809</x:v>
      </x:c>
      <x:c r="F42" s="40" t="n">
        <x:f>1/(1+'Inputs'!$C$6)^F41</x:f>
        <x:v>0.7807723748163272</x:v>
      </x:c>
      <x:c r="G42" s="40" t="n">
        <x:f>1/(1+'Inputs'!$C$6)^G41</x:f>
        <x:v>0.7189509331093152</x:v>
      </x:c>
      <x:c r="H42" s="40" t="n">
        <x:f>1/(1+'Inputs'!$C$6)^H41</x:f>
        <x:v>0.6620245040564493</x:v>
      </x:c>
      <x:c r="I42" s="25"/>
    </x:row>
    <x:row r="43" ht="23" customHeight="1">
      <x:c r="A43" s="1"/>
      <x:c r="B43" s="1" t="str">
        <x:v>Present value of forecast FCFF</x:v>
      </x:c>
      <x:c r="C43" s="25"/>
      <x:c r="D43" s="24" t="n">
        <x:f>D39*D42</x:f>
        <x:v>5966.859365739446</x:v>
      </x:c>
      <x:c r="E43" s="24" t="n">
        <x:f>E39*E42</x:f>
        <x:v>6304.431329157636</x:v>
      </x:c>
      <x:c r="F43" s="24" t="n">
        <x:f>F39*F42</x:f>
        <x:v>6669.408268750197</x:v>
      </x:c>
      <x:c r="G43" s="24" t="n">
        <x:f>G39*G42</x:f>
        <x:v>7063.993467052077</x:v>
      </x:c>
      <x:c r="H43" s="24" t="n">
        <x:f>H39*H42</x:f>
        <x:v>7490.583507732312</x:v>
      </x:c>
      <x:c r="I43" s="25"/>
    </x:row>
    <x:row r="44" ht="23" customHeight="1">
      <x:c r="A44" s="1"/>
      <x:c r="B44" s="1"/>
      <x:c r="C44" s="25"/>
      <x:c r="D44" s="25"/>
      <x:c r="E44" s="25"/>
      <x:c r="F44" s="25"/>
      <x:c r="G44" s="25"/>
      <x:c r="H44" s="25"/>
      <x:c r="I44" s="25"/>
    </x:row>
    <x:row r="45" ht="23" customHeight="1">
      <x:c r="A45" s="1"/>
      <x:c r="B45" s="2" t="str">
        <x:v>DCF valuation and equity bridge</x:v>
      </x:c>
      <x:c r="C45" s="38"/>
      <x:c r="D45" s="38"/>
      <x:c r="E45" s="38"/>
      <x:c r="F45" s="38"/>
      <x:c r="G45" s="38"/>
      <x:c r="H45" s="38"/>
      <x:c r="I45" s="38"/>
    </x:row>
    <x:row r="46" ht="23" customHeight="1">
      <x:c r="A46" s="1"/>
      <x:c r="B46" s="1" t="str">
        <x:v>PV of 2018–2022 FCFF</x:v>
      </x:c>
      <x:c r="C46" s="24" t="n">
        <x:f>SUM(D43:H43)</x:f>
        <x:v>33495.27593843167</x:v>
      </x:c>
      <x:c r="D46" s="25"/>
      <x:c r="E46" s="25"/>
      <x:c r="F46" s="25"/>
      <x:c r="G46" s="25"/>
      <x:c r="H46" s="25"/>
      <x:c r="I46" s="25"/>
    </x:row>
    <x:row r="47" ht="23" customHeight="1">
      <x:c r="A47" s="1"/>
      <x:c r="B47" s="1" t="str">
        <x:v>Normalized terminal FCFF</x:v>
      </x:c>
      <x:c r="C47" s="24" t="n">
        <x:f>I39</x:f>
        <x:v>9914.003544703473</x:v>
      </x:c>
      <x:c r="D47" s="25"/>
      <x:c r="E47" s="25"/>
      <x:c r="F47" s="25"/>
      <x:c r="G47" s="25"/>
      <x:c r="H47" s="25"/>
      <x:c r="I47" s="25"/>
    </x:row>
    <x:row r="48" ht="23" customHeight="1">
      <x:c r="A48" s="1"/>
      <x:c r="B48" s="1" t="str">
        <x:v>Terminal value at end-2022</x:v>
      </x:c>
      <x:c r="C48" s="37" t="n">
        <x:f>IF('Inputs'!C6&gt;'Inputs'!C8,C47/('Inputs'!C6-'Inputs'!C8),"n.a.")</x:f>
        <x:v>162555.5556947678</x:v>
      </x:c>
      <x:c r="D48" s="25"/>
      <x:c r="E48" s="25"/>
      <x:c r="F48" s="25"/>
      <x:c r="G48" s="25"/>
      <x:c r="H48" s="25"/>
      <x:c r="I48" s="25"/>
    </x:row>
    <x:row r="49" ht="23" customHeight="1">
      <x:c r="A49" s="1"/>
      <x:c r="B49" s="1" t="str">
        <x:v>PV of terminal value</x:v>
      </x:c>
      <x:c r="C49" s="24" t="n">
        <x:f>IF(ISNUMBER(C48),C48*H42,"n.a.")</x:f>
        <x:v>107615.76114044918</x:v>
      </x:c>
      <x:c r="D49" s="25"/>
      <x:c r="E49" s="25"/>
      <x:c r="F49" s="25"/>
      <x:c r="G49" s="25"/>
      <x:c r="H49" s="25"/>
      <x:c r="I49" s="25"/>
    </x:row>
    <x:row r="50" ht="23" customHeight="1">
      <x:c r="A50" s="1"/>
      <x:c r="B50" s="2" t="str">
        <x:v>DCF enterprise value</x:v>
      </x:c>
      <x:c r="C50" s="42" t="n">
        <x:f>IF(ISNUMBER(C49),SUM(C46,C49),"n.a.")</x:f>
        <x:v>141111.03707888085</x:v>
      </x:c>
      <x:c r="D50" s="38"/>
      <x:c r="E50" s="38"/>
      <x:c r="F50" s="38"/>
      <x:c r="G50" s="38"/>
      <x:c r="H50" s="38"/>
      <x:c r="I50" s="38"/>
    </x:row>
    <x:row r="51" ht="23" customHeight="1">
      <x:c r="A51" s="1"/>
      <x:c r="B51" s="1" t="str">
        <x:v>Terminal value contribution</x:v>
      </x:c>
      <x:c r="C51" s="26" t="n">
        <x:f>IF(ISNUMBER(C50),C49/C50,"n.a.")</x:f>
        <x:v>0.7626317782661617</x:v>
      </x:c>
      <x:c r="D51" s="25"/>
      <x:c r="E51" s="25"/>
      <x:c r="F51" s="25"/>
      <x:c r="G51" s="25"/>
      <x:c r="H51" s="25"/>
      <x:c r="I51" s="25"/>
    </x:row>
    <x:row r="52" ht="23" customHeight="1">
      <x:c r="A52" s="1"/>
      <x:c r="B52" s="1"/>
      <x:c r="C52" s="25"/>
      <x:c r="D52" s="25"/>
      <x:c r="E52" s="25"/>
      <x:c r="F52" s="25"/>
      <x:c r="G52" s="25"/>
      <x:c r="H52" s="25"/>
      <x:c r="I52" s="25"/>
    </x:row>
    <x:row r="53" ht="23" customHeight="1">
      <x:c r="A53" s="1"/>
      <x:c r="B53" s="1" t="str">
        <x:v>Add cash</x:v>
      </x:c>
      <x:c r="C53" s="37" t="n">
        <x:f>'Inputs'!C19</x:f>
        <x:v>11563.282</x:v>
      </x:c>
      <x:c r="D53" s="25"/>
      <x:c r="E53" s="25"/>
      <x:c r="F53" s="25"/>
      <x:c r="G53" s="25"/>
      <x:c r="H53" s="25"/>
      <x:c r="I53" s="25"/>
    </x:row>
    <x:row r="54" ht="23" customHeight="1">
      <x:c r="A54" s="1"/>
      <x:c r="B54" s="1" t="str">
        <x:v>Less interest-bearing debt</x:v>
      </x:c>
      <x:c r="C54" s="37" t="n">
        <x:f>SUM('Inputs'!C20:C22)</x:f>
        <x:v>10853.448999999999</x:v>
      </x:c>
      <x:c r="D54" s="25"/>
      <x:c r="E54" s="25"/>
      <x:c r="F54" s="25"/>
      <x:c r="G54" s="25"/>
      <x:c r="H54" s="25"/>
      <x:c r="I54" s="25"/>
    </x:row>
    <x:row r="55" ht="23" customHeight="1">
      <x:c r="A55" s="1"/>
      <x:c r="B55" s="1" t="str">
        <x:v>Less NCI and preference claim</x:v>
      </x:c>
      <x:c r="C55" s="37" t="n">
        <x:f>SUM('Inputs'!C23:C24)</x:f>
        <x:v>61.67</x:v>
      </x:c>
      <x:c r="D55" s="25"/>
      <x:c r="E55" s="25"/>
      <x:c r="F55" s="25"/>
      <x:c r="G55" s="25"/>
      <x:c r="H55" s="25"/>
      <x:c r="I55" s="25"/>
    </x:row>
    <x:row r="56" ht="23" customHeight="1">
      <x:c r="A56" s="1"/>
      <x:c r="B56" s="1" t="str">
        <x:v>Other bridge adjustments</x:v>
      </x:c>
      <x:c r="C56" s="37" t="n">
        <x:f>SUM('Inputs'!C25:C26)</x:f>
        <x:v>0</x:v>
      </x:c>
      <x:c r="D56" s="25"/>
      <x:c r="E56" s="25"/>
      <x:c r="F56" s="25"/>
      <x:c r="G56" s="25"/>
      <x:c r="H56" s="25"/>
      <x:c r="I56" s="25"/>
    </x:row>
    <x:row r="57" ht="23" customHeight="1">
      <x:c r="A57" s="1"/>
      <x:c r="B57" s="2" t="str">
        <x:v>Illustrative equity value</x:v>
      </x:c>
      <x:c r="C57" s="42" t="n">
        <x:f>IF(ISNUMBER(C50),C50+C53-C54-C55+C56,"n.a.")</x:f>
        <x:v>141759.20007888085</x:v>
      </x:c>
      <x:c r="D57" s="38"/>
      <x:c r="E57" s="38"/>
      <x:c r="F57" s="38"/>
      <x:c r="G57" s="38"/>
      <x:c r="H57" s="38"/>
      <x:c r="I57" s="38"/>
    </x:row>
    <x:row r="58" ht="23" customHeight="1">
      <x:c r="A58" s="1"/>
      <x:c r="B58" s="1" t="str">
        <x:v>Share count (millions)</x:v>
      </x:c>
      <x:c r="C58" s="37" t="n">
        <x:f>'Inputs'!C27</x:f>
        <x:v>20941.69083</x:v>
      </x:c>
      <x:c r="D58" s="25"/>
      <x:c r="E58" s="25"/>
      <x:c r="F58" s="25"/>
      <x:c r="G58" s="25"/>
      <x:c r="H58" s="25"/>
      <x:c r="I58" s="25"/>
    </x:row>
    <x:row r="59" ht="23" customHeight="1">
      <x:c r="A59" s="1"/>
      <x:c r="B59" s="1" t="str">
        <x:v>RMB per HK$</x:v>
      </x:c>
      <x:c r="C59" s="41" t="n">
        <x:f>'Inputs'!C28</x:f>
        <x:v>1.18</x:v>
      </x:c>
      <x:c r="D59" s="25"/>
      <x:c r="E59" s="25"/>
      <x:c r="F59" s="25"/>
      <x:c r="G59" s="25"/>
      <x:c r="H59" s="25"/>
      <x:c r="I59" s="25"/>
    </x:row>
    <x:row r="60" ht="23" customHeight="1">
      <x:c r="A60" s="1"/>
      <x:c r="B60" s="2" t="str">
        <x:v>Illustrative equity reference (HK$/share)</x:v>
      </x:c>
      <x:c r="C60" s="43" t="n">
        <x:f>IF(ISNUMBER(C57),C57/C58/C59,"n.a.")</x:f>
        <x:v>5.73663876027557</x:v>
      </x:c>
      <x:c r="D60" s="38"/>
      <x:c r="E60" s="38"/>
      <x:c r="F60" s="38"/>
      <x:c r="G60" s="38"/>
      <x:c r="H60" s="38"/>
      <x:c r="I60" s="38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</x:row>
    <x:row r="63" ht="38" customHeight="1">
      <x:c r="A63" s="1"/>
      <x:c r="B63" s="5" t="str">
        <x:v>Capex is a net-asset roll-forward estimate, not reported cash capex. Trade working capital covers selected items only. Terminal reinvestment is normalized to long-run growth.</x:v>
      </x:c>
      <x:c r="C63" s="5"/>
      <x:c r="D63" s="5"/>
      <x:c r="E63" s="5"/>
      <x:c r="F63" s="5"/>
      <x:c r="G63" s="5"/>
      <x:c r="H63" s="5"/>
      <x:c r="I63" s="5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</x:row>
    <x:row r="65" ht="38" customHeight="1">
      <x:c r="A65" s="1"/>
      <x:c r="B65" s="5" t="str">
        <x:v>2017A core EBIT and FCFF are analytical proxies, not the reported group operating profit or cash-flow statement. Other activities and investment gains are excluded.</x:v>
      </x:c>
      <x:c r="C65" s="5"/>
      <x:c r="D65" s="5"/>
      <x:c r="E65" s="5"/>
      <x:c r="F65" s="5"/>
      <x:c r="G65" s="5"/>
      <x:c r="H65" s="5"/>
      <x:c r="I65" s="5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</x:row>
    <x:row r="67" ht="38" customHeight="1">
      <x:c r="A67" s="1"/>
      <x:c r="B67" s="5" t="str">
        <x:v>The per-share output uses a simplified bridge and case share count. It is not a completed IPO valuation; compare methods and assumptions rather than interpreting small price differences as certainty.</x:v>
      </x:c>
      <x:c r="C67" s="5"/>
      <x:c r="D67" s="5"/>
      <x:c r="E67" s="5"/>
      <x:c r="F67" s="5"/>
      <x:c r="G67" s="5"/>
      <x:c r="H67" s="5"/>
      <x:c r="I67" s="5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</x:row>
  </x:sheetData>
  <x:mergeCells>
    <x:mergeCell ref="B3:I3"/>
    <x:mergeCell ref="B11:I11"/>
    <x:mergeCell ref="B63:I63"/>
    <x:mergeCell ref="B65:I65"/>
    <x:mergeCell ref="B67:I6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1"/>
      <x:c r="B2" s="4" t="str">
        <x:v>Xiaomi IPO — WACC Analysis</x:v>
      </x:c>
      <x:c r="C2" s="4"/>
      <x:c r="D2" s="4"/>
      <x:c r="E2" s="4"/>
    </x:row>
    <x:row r="3" ht="34" customHeight="1">
      <x:c r="A3" s="1"/>
      <x:c r="B3" s="5" t="str">
        <x:v>Jiarong Xu | Historical coursework model, revised for portfolio presentation</x:v>
      </x:c>
      <x:c r="C3" s="5"/>
      <x:c r="D3" s="5"/>
      <x:c r="E3" s="5"/>
    </x:row>
    <x:row r="4" ht="24" customHeight="1">
      <x:c r="A4" s="1"/>
      <x:c r="B4" s="1"/>
      <x:c r="C4" s="1"/>
      <x:c r="D4" s="1"/>
      <x:c r="E4" s="1"/>
    </x:row>
    <x:row r="5" ht="24" customHeight="1">
      <x:c r="A5" s="1"/>
      <x:c r="B5" s="9" t="str">
        <x:v>Weighted average cost of capital</x:v>
      </x:c>
      <x:c r="C5" s="10" t="n">
        <x:f>C35</x:f>
        <x:v>0.08598840179488604</x:v>
      </x:c>
      <x:c r="D5" s="1"/>
      <x:c r="E5" s="1"/>
    </x:row>
    <x:row r="6" ht="24" customHeight="1">
      <x:c r="A6" s="1"/>
      <x:c r="B6" s="1"/>
      <x:c r="C6" s="1"/>
      <x:c r="D6" s="1"/>
      <x:c r="E6" s="1"/>
    </x:row>
    <x:row r="7" ht="24" customHeight="1">
      <x:c r="A7" s="1"/>
      <x:c r="B7" s="2" t="str">
        <x:v>1. Capital structure and return assumptions</x:v>
      </x:c>
      <x:c r="C7" s="2"/>
      <x:c r="D7" s="2"/>
      <x:c r="E7" s="2"/>
    </x:row>
    <x:row r="8" ht="24" customHeight="1">
      <x:c r="A8" s="1"/>
      <x:c r="B8" s="1" t="str">
        <x:v>Target debt / equity</x:v>
      </x:c>
      <x:c r="C8" s="12" t="n">
        <x:v>0.29</x:v>
      </x:c>
      <x:c r="D8" s="1"/>
      <x:c r="E8" s="1"/>
    </x:row>
    <x:row r="9" ht="24" customHeight="1">
      <x:c r="A9" s="1"/>
      <x:c r="B9" s="1" t="str">
        <x:v>Pre-tax cost of debt</x:v>
      </x:c>
      <x:c r="C9" s="13" t="n">
        <x:v>0.0605</x:v>
      </x:c>
      <x:c r="D9" s="1"/>
      <x:c r="E9" s="1"/>
    </x:row>
    <x:row r="10" ht="24" customHeight="1">
      <x:c r="A10" s="1"/>
      <x:c r="B10" s="1" t="str">
        <x:v>Xiaomi tax rate</x:v>
      </x:c>
      <x:c r="C10" s="13" t="n">
        <x:v>0.25</x:v>
      </x:c>
      <x:c r="D10" s="1"/>
      <x:c r="E10" s="1"/>
    </x:row>
    <x:row r="11" ht="24" customHeight="1">
      <x:c r="A11" s="1"/>
      <x:c r="B11" s="1" t="str">
        <x:v>RMB risk-free rate</x:v>
      </x:c>
      <x:c r="C11" s="13" t="n">
        <x:v>0.0355</x:v>
      </x:c>
      <x:c r="D11" s="1"/>
      <x:c r="E11" s="1"/>
    </x:row>
    <x:row r="12" ht="24" customHeight="1">
      <x:c r="A12" s="1"/>
      <x:c r="B12" s="1" t="str">
        <x:v>Equity risk premium</x:v>
      </x:c>
      <x:c r="C12" s="13" t="n">
        <x:v>0.0565</x:v>
      </x:c>
      <x:c r="D12" s="1"/>
      <x:c r="E12" s="1"/>
    </x:row>
    <x:row r="13" ht="24" customHeight="1">
      <x:c r="A13" s="1"/>
      <x:c r="B13" s="1"/>
      <x:c r="C13" s="1"/>
      <x:c r="D13" s="1"/>
      <x:c r="E13" s="1"/>
    </x:row>
    <x:row r="14" ht="24" customHeight="1">
      <x:c r="A14" s="1"/>
      <x:c r="B14" s="2" t="str">
        <x:v>2. Peer risk and business weights</x:v>
      </x:c>
      <x:c r="C14" s="2"/>
      <x:c r="D14" s="2"/>
      <x:c r="E14" s="2"/>
    </x:row>
    <x:row r="15" ht="30" customHeight="1">
      <x:c r="A15" s="1"/>
      <x:c r="B15" s="15" t="str">
        <x:v>Metric</x:v>
      </x:c>
      <x:c r="C15" s="15" t="str">
        <x:v>Smartphones</x:v>
      </x:c>
      <x:c r="D15" s="15" t="str">
        <x:v>IoT / lifestyle</x:v>
      </x:c>
      <x:c r="E15" s="15" t="str">
        <x:v>Internet services</x:v>
      </x:c>
    </x:row>
    <x:row r="16" ht="24" customHeight="1">
      <x:c r="A16" s="1"/>
      <x:c r="B16" s="1" t="str">
        <x:v>Selected peer</x:v>
      </x:c>
      <x:c r="C16" s="1" t="str">
        <x:v>Apple</x:v>
      </x:c>
      <x:c r="D16" s="1" t="str">
        <x:v>TCL Electronics</x:v>
      </x:c>
      <x:c r="E16" s="1" t="str">
        <x:v>Tencent</x:v>
      </x:c>
    </x:row>
    <x:row r="17" ht="24" customHeight="1">
      <x:c r="A17" s="1"/>
      <x:c r="B17" s="1" t="str">
        <x:v>Levered beta</x:v>
      </x:c>
      <x:c r="C17" s="16" t="n">
        <x:v>0.84</x:v>
      </x:c>
      <x:c r="D17" s="16" t="n">
        <x:v>0.71</x:v>
      </x:c>
      <x:c r="E17" s="16" t="n">
        <x:v>1.22</x:v>
      </x:c>
    </x:row>
    <x:row r="18" ht="24" customHeight="1">
      <x:c r="A18" s="1"/>
      <x:c r="B18" s="1" t="str">
        <x:v>Interest-bearing debt (USD millions)</x:v>
      </x:c>
      <x:c r="C18" s="17" t="n">
        <x:v>115680</x:v>
      </x:c>
      <x:c r="D18" s="17" t="n">
        <x:v>374.4</x:v>
      </x:c>
      <x:c r="E18" s="17" t="n">
        <x:v>20255.7</x:v>
      </x:c>
    </x:row>
    <x:row r="19" ht="24" customHeight="1">
      <x:c r="A19" s="1"/>
      <x:c r="B19" s="1" t="str">
        <x:v>Equity market value (USD millions)</x:v>
      </x:c>
      <x:c r="C19" s="17" t="n">
        <x:v>860882.5</x:v>
      </x:c>
      <x:c r="D19" s="17" t="n">
        <x:v>1162.2</x:v>
      </x:c>
      <x:c r="E19" s="17" t="n">
        <x:v>493340.4</x:v>
      </x:c>
    </x:row>
    <x:row r="20" ht="24" customHeight="1">
      <x:c r="A20" s="1"/>
      <x:c r="B20" s="1" t="str">
        <x:v>Assumed peer tax rate</x:v>
      </x:c>
      <x:c r="C20" s="18" t="n">
        <x:v>0.25</x:v>
      </x:c>
      <x:c r="D20" s="18" t="n">
        <x:v>0.25</x:v>
      </x:c>
      <x:c r="E20" s="18" t="n">
        <x:v>0.25</x:v>
      </x:c>
    </x:row>
    <x:row r="21" ht="24" customHeight="1">
      <x:c r="A21" s="1"/>
      <x:c r="B21" s="1" t="str">
        <x:v>Peer debt / equity</x:v>
      </x:c>
      <x:c r="C21" s="19" t="n">
        <x:f>C18/C19</x:f>
        <x:v>0.1343737385764027</x:v>
      </x:c>
      <x:c r="D21" s="19" t="n">
        <x:f>D18/D19</x:f>
        <x:v>0.3221476510067114</x:v>
      </x:c>
      <x:c r="E21" s="19" t="n">
        <x:f>E18/E19</x:f>
        <x:v>0.0410582632194728</x:v>
      </x:c>
    </x:row>
    <x:row r="22" ht="24" customHeight="1">
      <x:c r="A22" s="1"/>
      <x:c r="B22" s="1" t="str">
        <x:v>Unlevered beta</x:v>
      </x:c>
      <x:c r="C22" s="20" t="n">
        <x:f>C17/(1+(1-C20)*C21)</x:f>
        <x:v>0.7630950490295654</x:v>
      </x:c>
      <x:c r="D22" s="20" t="n">
        <x:f>D17/(1+(1-D20)*D21)</x:f>
        <x:v>0.5718378378378378</x:v>
      </x:c>
      <x:c r="E22" s="20" t="n">
        <x:f>E17/(1+(1-E20)*E21)</x:f>
        <x:v>1.183553996362177</x:v>
      </x:c>
    </x:row>
    <x:row r="23" ht="24" customHeight="1">
      <x:c r="A23" s="1"/>
      <x:c r="B23" s="1" t="str">
        <x:v>2017 gross profit (RMB thousands)</x:v>
      </x:c>
      <x:c r="C23" s="21" t="n">
        <x:v>7101339</x:v>
      </x:c>
      <x:c r="D23" s="21" t="n">
        <x:v>1950865</x:v>
      </x:c>
      <x:c r="E23" s="21" t="n">
        <x:v>5960751</x:v>
      </x:c>
    </x:row>
    <x:row r="24" ht="24" customHeight="1">
      <x:c r="A24" s="1"/>
      <x:c r="B24" s="1" t="str">
        <x:v>Business weight</x:v>
      </x:c>
      <x:c r="C24" s="19" t="n">
        <x:f>C23/SUM($C$23:$E$23)</x:f>
        <x:v>0.4730140735118436</x:v>
      </x:c>
      <x:c r="D24" s="19" t="n">
        <x:f>D23/SUM($C$23:$E$23)</x:f>
        <x:v>0.12994543712413711</x:v>
      </x:c>
      <x:c r="E24" s="19" t="n">
        <x:f>E23/SUM($C$23:$E$23)</x:f>
        <x:v>0.39704048936401926</x:v>
      </x:c>
    </x:row>
    <x:row r="25" ht="24" customHeight="1">
      <x:c r="A25" s="1"/>
      <x:c r="B25" s="1" t="str">
        <x:v>Weighted beta contribution</x:v>
      </x:c>
      <x:c r="C25" s="20" t="n">
        <x:f>C22*C24</x:f>
        <x:v>0.3609546976181947</x:v>
      </x:c>
      <x:c r="D25" s="20" t="n">
        <x:f>D22*D24</x:f>
        <x:v>0.07430771780195927</x:v>
      </x:c>
      <x:c r="E25" s="20" t="n">
        <x:f>E22*E24</x:f>
        <x:v>0.46991885790437943</x:v>
      </x:c>
    </x:row>
    <x:row r="26" ht="24" customHeight="1">
      <x:c r="A26" s="1"/>
      <x:c r="B26" s="1"/>
      <x:c r="C26" s="1"/>
      <x:c r="D26" s="1"/>
      <x:c r="E26" s="1"/>
    </x:row>
    <x:row r="27" ht="24" customHeight="1">
      <x:c r="A27" s="1"/>
      <x:c r="B27" s="2" t="str">
        <x:v>3. Xiaomi beta and cost of capital</x:v>
      </x:c>
      <x:c r="C27" s="2"/>
      <x:c r="D27" s="2"/>
      <x:c r="E27" s="2"/>
    </x:row>
    <x:row r="28" ht="24" customHeight="1">
      <x:c r="A28" s="1"/>
      <x:c r="B28" s="1" t="str">
        <x:v>Weighted unlevered beta</x:v>
      </x:c>
      <x:c r="C28" s="20" t="n">
        <x:f>SUM(C25:E25)</x:f>
        <x:v>0.9051812733245335</x:v>
      </x:c>
      <x:c r="D28" s="1"/>
      <x:c r="E28" s="1"/>
    </x:row>
    <x:row r="29" ht="24" customHeight="1">
      <x:c r="A29" s="1"/>
      <x:c r="B29" s="1" t="str">
        <x:v>Relevered equity beta</x:v>
      </x:c>
      <x:c r="C29" s="20" t="n">
        <x:f>C28*(1+(1-C10)*C8)</x:f>
        <x:v>1.1020582002726196</x:v>
      </x:c>
      <x:c r="D29" s="1"/>
      <x:c r="E29" s="1"/>
    </x:row>
    <x:row r="30" ht="24" customHeight="1">
      <x:c r="A30" s="1"/>
      <x:c r="B30" s="1" t="str">
        <x:v>Cost of equity (CAPM)</x:v>
      </x:c>
      <x:c r="C30" s="6" t="n">
        <x:f>C11+C29*C12</x:f>
        <x:v>0.097766288315403</x:v>
      </x:c>
      <x:c r="D30" s="1"/>
      <x:c r="E30" s="1"/>
    </x:row>
    <x:row r="31" ht="24" customHeight="1">
      <x:c r="A31" s="1"/>
      <x:c r="B31" s="1" t="str">
        <x:v>Debt / total capital</x:v>
      </x:c>
      <x:c r="C31" s="6" t="n">
        <x:f>C8/(1+C8)</x:f>
        <x:v>0.22480620155038758</x:v>
      </x:c>
      <x:c r="D31" s="1"/>
      <x:c r="E31" s="1"/>
    </x:row>
    <x:row r="32" ht="24" customHeight="1">
      <x:c r="A32" s="1"/>
      <x:c r="B32" s="1" t="str">
        <x:v>Equity / total capital</x:v>
      </x:c>
      <x:c r="C32" s="6" t="n">
        <x:f>1/(1+C8)</x:f>
        <x:v>0.7751937984496123</x:v>
      </x:c>
      <x:c r="D32" s="1"/>
      <x:c r="E32" s="1"/>
    </x:row>
    <x:row r="33" ht="24" customHeight="1">
      <x:c r="A33" s="1"/>
      <x:c r="B33" s="1" t="str">
        <x:v>After-tax cost of debt</x:v>
      </x:c>
      <x:c r="C33" s="6" t="n">
        <x:f>C9*(1-C10)</x:f>
        <x:v>0.045375</x:v>
      </x:c>
      <x:c r="D33" s="1"/>
      <x:c r="E33" s="1"/>
    </x:row>
    <x:row r="34" ht="24" customHeight="1">
      <x:c r="A34" s="1"/>
      <x:c r="B34" s="1" t="str">
        <x:v>Equity cost contribution</x:v>
      </x:c>
      <x:c r="C34" s="6" t="n">
        <x:f>C32*C30</x:f>
        <x:v>0.0757878203995372</x:v>
      </x:c>
      <x:c r="D34" s="1"/>
      <x:c r="E34" s="1"/>
    </x:row>
    <x:row r="35" ht="24" customHeight="1">
      <x:c r="A35" s="1"/>
      <x:c r="B35" s="9" t="str">
        <x:v>Weighted average cost of capital</x:v>
      </x:c>
      <x:c r="C35" s="10" t="n">
        <x:f>C34+C31*C33</x:f>
        <x:v>0.08598840179488604</x:v>
      </x:c>
      <x:c r="D35" s="1"/>
      <x:c r="E35" s="1"/>
    </x:row>
    <x:row r="36" ht="24" customHeight="1">
      <x:c r="A36" s="1"/>
      <x:c r="B36" s="1"/>
      <x:c r="C36" s="1"/>
      <x:c r="D36" s="1"/>
      <x:c r="E36" s="1"/>
    </x:row>
    <x:row r="37" ht="24" customHeight="1">
      <x:c r="A37" s="1"/>
      <x:c r="B37" s="2" t="str">
        <x:v>Model assumptions</x:v>
      </x:c>
      <x:c r="C37" s="2"/>
      <x:c r="D37" s="2"/>
      <x:c r="E37" s="2"/>
    </x:row>
    <x:row r="38" ht="34" customHeight="1">
      <x:c r="A38" s="1"/>
      <x:c r="B38" s="5" t="str">
        <x:v>Estimation method: 2017 gross-profit shares proxy business-value weights. Ideally estimate segment market values. Others is excluded and weights are normalized to 100%.</x:v>
      </x:c>
      <x:c r="C38" s="5"/>
      <x:c r="D38" s="5"/>
      <x:c r="E38" s="5"/>
    </x:row>
    <x:row r="39" ht="24" customHeight="1">
      <x:c r="A39" s="1"/>
      <x:c r="B39" s="1"/>
      <x:c r="C39" s="1"/>
      <x:c r="D39" s="1"/>
      <x:c r="E39" s="1"/>
    </x:row>
    <x:row r="40" ht="34" customHeight="1">
      <x:c r="A40" s="1"/>
      <x:c r="B40" s="5" t="str">
        <x:v>Unlevering approximation: book interest-bearing debt / equity market value. Ideally use market debt and market equity. Uniform 25% peer taxes are simplifying assumptions.</x:v>
      </x:c>
      <x:c r="C40" s="5"/>
      <x:c r="D40" s="5"/>
      <x:c r="E40" s="5"/>
    </x:row>
    <x:row r="41" ht="24" customHeight="1">
      <x:c r="A41" s="1"/>
      <x:c r="B41" s="1"/>
      <x:c r="C41" s="1"/>
      <x:c r="D41" s="1"/>
      <x:c r="E41" s="1"/>
    </x:row>
    <x:row r="42" ht="38" customHeight="1">
      <x:c r="A42" s="1"/>
      <x:c r="B42" s="5" t="str">
        <x:v>One peer per business; no cash adjustment. A fuller estimate would use several peers, local marginal taxes and aligned dates. Case peer metric observation dates are unspecified.</x:v>
      </x:c>
      <x:c r="C42" s="5"/>
      <x:c r="D42" s="5"/>
      <x:c r="E42" s="5"/>
    </x:row>
    <x:row r="43" ht="24" customHeight="1">
      <x:c r="A43" s="1"/>
      <x:c r="B43" s="1"/>
      <x:c r="C43" s="1"/>
      <x:c r="D43" s="1"/>
      <x:c r="E43" s="1"/>
    </x:row>
    <x:row r="44" ht="34" customHeight="1">
      <x:c r="A44" s="1"/>
      <x:c r="B44" s="5" t="str">
        <x:v>Blue numbers are editable inputs. Black numbers are formula outputs.</x:v>
      </x:c>
      <x:c r="C44" s="5"/>
      <x:c r="D44" s="5"/>
      <x:c r="E44" s="5"/>
    </x:row>
    <x:row r="45" ht="24" customHeight="1">
      <x:c r="A45" s="1"/>
      <x:c r="B45" s="1"/>
      <x:c r="C45" s="1"/>
      <x:c r="D45" s="1"/>
      <x:c r="E45" s="1"/>
    </x:row>
    <x:row r="46" ht="38" customHeight="1">
      <x:c r="B46" s="47" t="str">
        <x:v>Peer beta, debt and market equity: case Exhibit 3, p.10 (FactSet access 15 Mar 2019; metric dates unspecified). Target D/E, debt cost, tax, risk-free rate and ERP: Exhibit 5, p.13.</x:v>
      </x:c>
      <x:c r="C46" s="47"/>
      <x:c r="D46" s="47"/>
      <x:c r="E46" s="47"/>
    </x:row>
    <x:row r="48" ht="38" customHeight="1">
      <x:c r="B48" s="47" t="str">
        <x:v>Gross-profit inputs: public prospectus Note 5, I-54. Peer taxes of 25% are analyst assumptions. Peer fields were not independently refreshed.</x:v>
      </x:c>
      <x:c r="C48" s="47"/>
      <x:c r="D48" s="47"/>
      <x:c r="E48" s="47"/>
    </x:row>
  </x:sheetData>
  <x:mergeCells>
    <x:mergeCell ref="B3:E3"/>
    <x:mergeCell ref="B38:E38"/>
    <x:mergeCell ref="B40:E40"/>
    <x:mergeCell ref="B42:E42"/>
    <x:mergeCell ref="B44:E44"/>
    <x:mergeCell ref="B46:E46"/>
    <x:mergeCell ref="B48:E4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3" customHeight="1">
      <x:c r="A2" s="1"/>
      <x:c r="B2" s="22" t="str">
        <x:v>DCF assumptions</x:v>
      </x:c>
      <x:c r="C2" s="22"/>
      <x:c r="D2" s="22"/>
      <x:c r="E2" s="22"/>
      <x:c r="F2" s="22"/>
      <x:c r="G2" s="1"/>
      <x:c r="H2" s="1"/>
      <x:c r="I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</x:row>
    <x:row r="6" ht="23" customHeight="1">
      <x:c r="A6" s="1"/>
      <x:c r="B6" s="1" t="str">
        <x:v>WACC (live from WACC worksheet)</x:v>
      </x:c>
      <x:c r="C6" s="28" t="n">
        <x:f>'WACC'!C35</x:f>
        <x:v>0.08598840179488604</x:v>
      </x:c>
      <x:c r="D6" s="1"/>
      <x:c r="E6" s="44" t="str">
        <x:v>Live links to the embedded WACC worksheet; peer assumptions are documented there.</x:v>
      </x:c>
      <x:c r="F6" s="44"/>
      <x:c r="G6" s="44"/>
      <x:c r="H6" s="44"/>
      <x:c r="I6" s="44"/>
    </x:row>
    <x:row r="7" ht="23" customHeight="1">
      <x:c r="A7" s="1"/>
      <x:c r="B7" s="1" t="str">
        <x:v>Tax rate</x:v>
      </x:c>
      <x:c r="C7" s="28" t="n">
        <x:f>'WACC'!C10</x:f>
        <x:v>0.25</x:v>
      </x:c>
      <x:c r="D7" s="1"/>
      <x:c r="E7" s="44"/>
      <x:c r="F7" s="44"/>
      <x:c r="G7" s="44"/>
      <x:c r="H7" s="44"/>
      <x:c r="I7" s="44"/>
    </x:row>
    <x:row r="8" ht="23" customHeight="1">
      <x:c r="A8" s="1"/>
      <x:c r="B8" s="1" t="str">
        <x:v>Terminal growth</x:v>
      </x:c>
      <x:c r="C8" s="13" t="n">
        <x:v>0.025</x:v>
      </x:c>
      <x:c r="D8" s="1"/>
      <x:c r="E8" s="44" t="str">
        <x:v>C: teaching case GC-18-001-CE, Exhibit 5, pp.13–14. Growth and terminal rates are assumptions, not reported actual results.</x:v>
      </x:c>
      <x:c r="F8" s="44"/>
      <x:c r="G8" s="44"/>
      <x:c r="H8" s="44"/>
      <x:c r="I8" s="44"/>
    </x:row>
    <x:row r="9" ht="23" customHeight="1">
      <x:c r="A9" s="1"/>
      <x:c r="B9" s="1" t="str">
        <x:v>Smartphone annual growth</x:v>
      </x:c>
      <x:c r="C9" s="13" t="n">
        <x:v>0.069</x:v>
      </x:c>
      <x:c r="D9" s="1"/>
      <x:c r="E9" s="44"/>
      <x:c r="F9" s="44"/>
      <x:c r="G9" s="44"/>
      <x:c r="H9" s="44"/>
      <x:c r="I9" s="44"/>
    </x:row>
    <x:row r="10" ht="23" customHeight="1">
      <x:c r="A10" s="1"/>
      <x:c r="B10" s="1" t="str">
        <x:v>IoT annual growth</x:v>
      </x:c>
      <x:c r="C10" s="13" t="n">
        <x:v>0.213</x:v>
      </x:c>
      <x:c r="D10" s="1"/>
      <x:c r="E10" s="44"/>
      <x:c r="F10" s="44"/>
      <x:c r="G10" s="44"/>
      <x:c r="H10" s="44"/>
      <x:c r="I10" s="44"/>
    </x:row>
    <x:row r="11" ht="23" customHeight="1">
      <x:c r="A11" s="1"/>
      <x:c r="B11" s="1" t="str">
        <x:v>Internet annual growth</x:v>
      </x:c>
      <x:c r="C11" s="13" t="n">
        <x:v>0.159</x:v>
      </x:c>
      <x:c r="D11" s="1"/>
      <x:c r="E11" s="44"/>
      <x:c r="F11" s="44"/>
      <x:c r="G11" s="44"/>
      <x:c r="H11" s="44"/>
      <x:c r="I11" s="44"/>
    </x:row>
    <x:row r="12" ht="23" customHeight="1">
      <x:c r="A12" s="1"/>
      <x:c r="B12" s="1" t="str">
        <x:v>Selling ratio: 2015–2017 average</x:v>
      </x:c>
      <x:c r="C12" s="28" t="n">
        <x:f>AVERAGE('History'!C38:E38)</x:f>
        <x:v>0.03947792333286423</x:v>
      </x:c>
      <x:c r="D12" s="1"/>
      <x:c r="E12" s="44" t="str">
        <x:v>Calculated from History: three-year mean annual expense ratios and 2017 selected fixed-asset / trade-WC intensity.</x:v>
      </x:c>
      <x:c r="F12" s="44"/>
      <x:c r="G12" s="44"/>
      <x:c r="H12" s="44"/>
      <x:c r="I12" s="44"/>
    </x:row>
    <x:row r="13" ht="23" customHeight="1">
      <x:c r="A13" s="1"/>
      <x:c r="B13" s="1" t="str">
        <x:v>Admin ratio: 2015–2017 average</x:v>
      </x:c>
      <x:c r="C13" s="28" t="n">
        <x:f>AVERAGE('History'!C39:E39)</x:f>
        <x:v>0.011873940343842473</x:v>
      </x:c>
      <x:c r="D13" s="1"/>
      <x:c r="E13" s="44"/>
      <x:c r="F13" s="44"/>
      <x:c r="G13" s="44"/>
      <x:c r="H13" s="44"/>
      <x:c r="I13" s="44"/>
    </x:row>
    <x:row r="14" ht="23" customHeight="1">
      <x:c r="A14" s="1"/>
      <x:c r="B14" s="1" t="str">
        <x:v>R&amp;D ratio: 2015–2017 average</x:v>
      </x:c>
      <x:c r="C14" s="28" t="n">
        <x:f>AVERAGE('History'!C40:E40)</x:f>
        <x:v>0.026956509773287007</x:v>
      </x:c>
      <x:c r="D14" s="1"/>
      <x:c r="E14" s="44"/>
      <x:c r="F14" s="44"/>
      <x:c r="G14" s="44"/>
      <x:c r="H14" s="44"/>
      <x:c r="I14" s="44"/>
    </x:row>
    <x:row r="15" ht="23" customHeight="1">
      <x:c r="A15" s="1"/>
      <x:c r="B15" s="1" t="str">
        <x:v>D&amp;A ratio: 2015–2017 average</x:v>
      </x:c>
      <x:c r="C15" s="28" t="n">
        <x:f>AVERAGE('History'!C41:E41)</x:f>
        <x:v>0.0032489031950837795</x:v>
      </x:c>
      <x:c r="D15" s="1"/>
      <x:c r="E15" s="44"/>
      <x:c r="F15" s="44"/>
      <x:c r="G15" s="44"/>
      <x:c r="H15" s="44"/>
      <x:c r="I15" s="44"/>
    </x:row>
    <x:row r="16" ht="23" customHeight="1">
      <x:c r="A16" s="1"/>
      <x:c r="B16" s="1" t="str">
        <x:v>Net fixed-asset ratio: 2017</x:v>
      </x:c>
      <x:c r="C16" s="28" t="n">
        <x:f>'History'!E46</x:f>
        <x:v>0.0351619800314651</x:v>
      </x:c>
      <x:c r="D16" s="1"/>
      <x:c r="E16" s="44"/>
      <x:c r="F16" s="44"/>
      <x:c r="G16" s="44"/>
      <x:c r="H16" s="44"/>
      <x:c r="I16" s="44"/>
    </x:row>
    <x:row r="17" ht="23" customHeight="1">
      <x:c r="A17" s="1"/>
      <x:c r="B17" s="1" t="str">
        <x:v>Trade WC ratio: 2017</x:v>
      </x:c>
      <x:c r="C17" s="28" t="n">
        <x:f>'History'!E47</x:f>
        <x:v>-0.13679085347320272</x:v>
      </x:c>
      <x:c r="D17" s="1"/>
      <x:c r="E17" s="44"/>
      <x:c r="F17" s="44"/>
      <x:c r="G17" s="44"/>
      <x:c r="H17" s="44"/>
      <x:c r="I17" s="44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1" t="str">
        <x:v>2017 cash and equivalents</x:v>
      </x:c>
      <x:c r="C19" s="29" t="n">
        <x:v>11563.282</x:v>
      </x:c>
      <x:c r="D19" s="1"/>
      <x:c r="E19" s="44" t="str">
        <x:v>P: I-6, I-7; Notes 31(a) and 33, I-96–I-97. FY2017 cash, debt and book NCI, RMB thousands / 1,000.</x:v>
      </x:c>
      <x:c r="F19" s="44"/>
      <x:c r="G19" s="44"/>
      <x:c r="H19" s="44"/>
      <x:c r="I19" s="44"/>
    </x:row>
    <x:row r="20" ht="23" customHeight="1">
      <x:c r="A20" s="1"/>
      <x:c r="B20" s="1" t="str">
        <x:v>2017 current borrowings</x:v>
      </x:c>
      <x:c r="C20" s="29" t="n">
        <x:v>3550.801</x:v>
      </x:c>
      <x:c r="D20" s="1"/>
      <x:c r="E20" s="44"/>
      <x:c r="F20" s="44"/>
      <x:c r="G20" s="44"/>
      <x:c r="H20" s="44"/>
      <x:c r="I20" s="44"/>
    </x:row>
    <x:row r="21" ht="23" customHeight="1">
      <x:c r="A21" s="1"/>
      <x:c r="B21" s="1" t="str">
        <x:v>2017 non-current borrowings</x:v>
      </x:c>
      <x:c r="C21" s="29" t="n">
        <x:v>7251.312</x:v>
      </x:c>
      <x:c r="D21" s="1"/>
      <x:c r="E21" s="44"/>
      <x:c r="F21" s="44"/>
      <x:c r="G21" s="44"/>
      <x:c r="H21" s="44"/>
      <x:c r="I21" s="44"/>
    </x:row>
    <x:row r="22" ht="23" customHeight="1">
      <x:c r="A22" s="1"/>
      <x:c r="B22" s="1" t="str">
        <x:v>2017 related-party loans</x:v>
      </x:c>
      <x:c r="C22" s="29" t="n">
        <x:v>51.336</x:v>
      </x:c>
      <x:c r="D22" s="1"/>
      <x:c r="E22" s="44"/>
      <x:c r="F22" s="44"/>
      <x:c r="G22" s="44"/>
      <x:c r="H22" s="44"/>
      <x:c r="I22" s="44"/>
    </x:row>
    <x:row r="23" ht="23" customHeight="1">
      <x:c r="A23" s="1"/>
      <x:c r="B23" s="1" t="str">
        <x:v>Book NCI proxy</x:v>
      </x:c>
      <x:c r="C23" s="29" t="n">
        <x:v>61.67</x:v>
      </x:c>
      <x:c r="D23" s="1"/>
      <x:c r="E23" s="44"/>
      <x:c r="F23" s="44"/>
      <x:c r="G23" s="44"/>
      <x:c r="H23" s="44"/>
      <x:c r="I23" s="44"/>
    </x:row>
    <x:row r="24" ht="23" customHeight="1">
      <x:c r="A24" s="1"/>
      <x:c r="B24" s="1" t="str">
        <x:v>Preference claim after assumed conversion</x:v>
      </x:c>
      <x:c r="C24" s="29" t="n">
        <x:v>0</x:v>
      </x:c>
      <x:c r="D24" s="1"/>
      <x:c r="E24" s="44" t="str">
        <x:v>Analyst bridge assumptions: conversion, excluded IPO proceeds and excluded investment adjustments; zero inputs do not assert reported zeros.</x:v>
      </x:c>
      <x:c r="F24" s="44"/>
      <x:c r="G24" s="44"/>
      <x:c r="H24" s="44"/>
      <x:c r="I24" s="44"/>
    </x:row>
    <x:row r="25" ht="23" customHeight="1">
      <x:c r="A25" s="1"/>
      <x:c r="B25" s="1" t="str">
        <x:v>IPO net cash (excluded)</x:v>
      </x:c>
      <x:c r="C25" s="29" t="n">
        <x:v>0</x:v>
      </x:c>
      <x:c r="D25" s="1"/>
      <x:c r="E25" s="44"/>
      <x:c r="F25" s="44"/>
      <x:c r="G25" s="44"/>
      <x:c r="H25" s="44"/>
      <x:c r="I25" s="44"/>
    </x:row>
    <x:row r="26" ht="23" customHeight="1">
      <x:c r="A26" s="1"/>
      <x:c r="B26" s="1" t="str">
        <x:v>Other investment adjustments (excluded)</x:v>
      </x:c>
      <x:c r="C26" s="29" t="n">
        <x:v>0</x:v>
      </x:c>
      <x:c r="D26" s="1"/>
      <x:c r="E26" s="44"/>
      <x:c r="F26" s="44"/>
      <x:c r="G26" s="44"/>
      <x:c r="H26" s="44"/>
      <x:c r="I26" s="44"/>
    </x:row>
    <x:row r="27" ht="23" customHeight="1">
      <x:c r="A27" s="1"/>
      <x:c r="B27" s="1" t="str">
        <x:v>Share count (millions)</x:v>
      </x:c>
      <x:c r="C27" s="29" t="n">
        <x:v>20941.69083</x:v>
      </x:c>
      <x:c r="D27" s="1"/>
      <x:c r="E27" s="44" t="str">
        <x:v>Shares and FX: case Exhibit 5, pp.13–14. P p.193 shows the share input is pre-offering; not a fully diluted post-IPO count. Offer price: case p.7.</x:v>
      </x:c>
      <x:c r="F27" s="44"/>
      <x:c r="G27" s="44"/>
      <x:c r="H27" s="44"/>
      <x:c r="I27" s="44"/>
    </x:row>
    <x:row r="28" ht="23" customHeight="1">
      <x:c r="A28" s="1"/>
      <x:c r="B28" s="1" t="str">
        <x:v>RMB per HK$</x:v>
      </x:c>
      <x:c r="C28" s="30" t="n">
        <x:v>1.18</x:v>
      </x:c>
      <x:c r="D28" s="1"/>
      <x:c r="E28" s="44"/>
      <x:c r="F28" s="44"/>
      <x:c r="G28" s="44"/>
      <x:c r="H28" s="44"/>
      <x:c r="I28" s="44"/>
    </x:row>
    <x:row r="29" ht="23" customHeight="1">
      <x:c r="A29" s="1"/>
      <x:c r="B29" s="1" t="str">
        <x:v>IPO offer price (HK$)</x:v>
      </x:c>
      <x:c r="C29" s="30" t="n">
        <x:v>17</x:v>
      </x:c>
      <x:c r="D29" s="1"/>
      <x:c r="E29" s="44"/>
      <x:c r="F29" s="44"/>
      <x:c r="G29" s="44"/>
      <x:c r="H29" s="44"/>
      <x:c r="I29" s="44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 t="str">
        <x:v>Smartphone cost ratio: 2017</x:v>
      </x:c>
      <x:c r="C31" s="28" t="n">
        <x:f>'History'!E48</x:f>
        <x:v>0.9118542427489023</x:v>
      </x:c>
      <x:c r="D31" s="1"/>
      <x:c r="E31" s="44" t="str">
        <x:v>Calculated 2017 segment costs / segment sales; P Note 5, I-54.</x:v>
      </x:c>
      <x:c r="F31" s="44"/>
      <x:c r="G31" s="44"/>
      <x:c r="H31" s="44"/>
      <x:c r="I31" s="44"/>
    </x:row>
    <x:row r="32" ht="23" customHeight="1">
      <x:c r="A32" s="1"/>
      <x:c r="B32" s="1" t="str">
        <x:v>IoT cost ratio: 2017</x:v>
      </x:c>
      <x:c r="C32" s="28" t="n">
        <x:f>'History'!E49</x:f>
        <x:v>0.9167997387220126</x:v>
      </x:c>
      <x:c r="D32" s="1"/>
      <x:c r="E32" s="44"/>
      <x:c r="F32" s="44"/>
      <x:c r="G32" s="44"/>
      <x:c r="H32" s="44"/>
      <x:c r="I32" s="44"/>
    </x:row>
    <x:row r="33" ht="23" customHeight="1">
      <x:c r="A33" s="1"/>
      <x:c r="B33" s="1" t="str">
        <x:v>Internet cost ratio: 2017</x:v>
      </x:c>
      <x:c r="C33" s="28" t="n">
        <x:f>'History'!E50</x:f>
        <x:v>0.3976842462437562</x:v>
      </x:c>
      <x:c r="D33" s="1"/>
      <x:c r="E33" s="44"/>
      <x:c r="F33" s="44"/>
      <x:c r="G33" s="44"/>
      <x:c r="H33" s="44"/>
      <x:c r="I33" s="44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</x:row>
    <x:row r="36" ht="38" customHeight="1">
      <x:c r="A36" s="1"/>
      <x:c r="B36" s="5" t="str">
        <x:v>Forecast scope: three principal businesses. Group opex ratios are applied to their combined revenue. Other revenues, investment gains and financing income/expenses are excluded from core EBIT.</x:v>
      </x:c>
      <x:c r="C36" s="5"/>
      <x:c r="D36" s="5"/>
      <x:c r="E36" s="5"/>
      <x:c r="F36" s="5"/>
      <x:c r="G36" s="5"/>
      <x:c r="H36" s="5"/>
      <x:c r="I36" s="5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</x:row>
    <x:row r="38" ht="38" customHeight="1">
      <x:c r="A38" s="1"/>
      <x:c r="B38" s="5" t="str">
        <x:v>Reinvestment estimate: net PPE plus intangibles held at 2017 revenue intensity. Capex = increase in this net asset proxy + D&amp;A. This excludes land rights, acquisitions, FX, disposals and other asset changes.</x:v>
      </x:c>
      <x:c r="C38" s="5"/>
      <x:c r="D38" s="5"/>
      <x:c r="E38" s="5"/>
      <x:c r="F38" s="5"/>
      <x:c r="G38" s="5"/>
      <x:c r="H38" s="5"/>
      <x:c r="I38" s="5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</x:row>
    <x:row r="40" ht="38" customHeight="1">
      <x:c r="A40" s="1"/>
      <x:c r="B40" s="5" t="str">
        <x:v>Trade WC = trade receivables + inventories - trade payables - customer advances. Other operating prepayments/accruals and financing balances are excluded. Negative WC releases cash as sales grow.</x:v>
      </x:c>
      <x:c r="C40" s="5"/>
      <x:c r="D40" s="5"/>
      <x:c r="E40" s="5"/>
      <x:c r="F40" s="5"/>
      <x:c r="G40" s="5"/>
      <x:c r="H40" s="5"/>
      <x:c r="I40" s="5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</x:row>
    <x:row r="42" ht="38" customHeight="1">
      <x:c r="A42" s="1"/>
      <x:c r="B42" s="5" t="str">
        <x:v>Cash taxes = MAX(core EBIT, 0) × tax rate; no loss carryforwards or deferred-tax schedule. Historical opex/cost ratios already contain D&amp;A: add D&amp;A once in FCFF, not again in EBIT.</x:v>
      </x:c>
      <x:c r="C42" s="5"/>
      <x:c r="D42" s="5"/>
      <x:c r="E42" s="5"/>
      <x:c r="F42" s="5"/>
      <x:c r="G42" s="5"/>
      <x:c r="H42" s="5"/>
      <x:c r="I42" s="5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</x:row>
    <x:row r="44" ht="38" customHeight="1">
      <x:c r="A44" s="1"/>
      <x:c r="B44" s="5" t="str">
        <x:v>Terminal revenue grows at g for all segments. Stable 2022 mix and margins are retained; capex and working-capital growth are normalized to g rather than continuing high-growth reinvestment forever.</x:v>
      </x:c>
      <x:c r="C44" s="5"/>
      <x:c r="D44" s="5"/>
      <x:c r="E44" s="5"/>
      <x:c r="F44" s="5"/>
      <x:c r="G44" s="5"/>
      <x:c r="H44" s="5"/>
      <x:c r="I44" s="5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</x:row>
    <x:row r="46" ht="38" customHeight="1">
      <x:c r="A46" s="1"/>
      <x:c r="B46" s="5" t="str">
        <x:v>Baseline: 31 December 2017 with end-year discounting. Peer metric dates are unspecified in the case; the share count is pre-offering. This is a retrospective estimate, not an IPO-date reconstruction.</x:v>
      </x:c>
      <x:c r="C46" s="5"/>
      <x:c r="D46" s="5"/>
      <x:c r="E46" s="5"/>
      <x:c r="F46" s="5"/>
      <x:c r="G46" s="5"/>
      <x:c r="H46" s="5"/>
      <x:c r="I46" s="5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</x:row>
    <x:row r="48" ht="38" customHeight="1">
      <x:c r="A48" s="1"/>
      <x:c r="B48" s="5" t="str">
        <x:v>Equity bridge matches the relative-valuation model: preference conversion assumed, IPO cash and investments excluded, book NCI proxy. A full deal-date bridge would need additional reconciliation.</x:v>
      </x:c>
      <x:c r="C48" s="5"/>
      <x:c r="D48" s="5"/>
      <x:c r="E48" s="5"/>
      <x:c r="F48" s="5"/>
      <x:c r="G48" s="5"/>
      <x:c r="H48" s="5"/>
      <x:c r="I48" s="5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</x:row>
  </x:sheetData>
  <x:mergeCells>
    <x:mergeCell ref="B36:I36"/>
    <x:mergeCell ref="B38:I38"/>
    <x:mergeCell ref="B40:I40"/>
    <x:mergeCell ref="B42:I42"/>
    <x:mergeCell ref="B44:I44"/>
    <x:mergeCell ref="B46:I46"/>
    <x:mergeCell ref="B48:I48"/>
    <x:mergeCell ref="E6:I7"/>
    <x:mergeCell ref="E8:I11"/>
    <x:mergeCell ref="E12:I17"/>
    <x:mergeCell ref="E19:I23"/>
    <x:mergeCell ref="E24:I26"/>
    <x:mergeCell ref="E27:I29"/>
    <x:mergeCell ref="E31:I3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3" customHeight="1">
      <x:c r="A2" s="1"/>
      <x:c r="B2" s="22" t="str">
        <x:v>Xiaomi historical inputs (RMB millions)</x:v>
      </x:c>
      <x:c r="C2" s="22"/>
      <x:c r="D2" s="22"/>
      <x:c r="E2" s="22"/>
      <x:c r="F2" s="22"/>
      <x:c r="G2" s="1"/>
      <x:c r="H2" s="1"/>
      <x:c r="I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23" customHeight="1">
      <x:c r="A4" s="1"/>
      <x:c r="B4" s="1"/>
      <x:c r="C4" s="1" t="n">
        <x:v>2015</x:v>
      </x:c>
      <x:c r="D4" s="1" t="n">
        <x:v>2016</x:v>
      </x:c>
      <x:c r="E4" s="1" t="n">
        <x:v>2017</x:v>
      </x:c>
      <x:c r="F4" s="1"/>
      <x:c r="G4" s="1" t="str">
        <x:v>Reference / original unit</x:v>
      </x:c>
      <x:c r="H4" s="1"/>
      <x:c r="I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</x:row>
    <x:row r="6" ht="23" customHeight="1">
      <x:c r="A6" s="1"/>
      <x:c r="B6" s="1" t="str">
        <x:v>Smartphone revenue</x:v>
      </x:c>
      <x:c r="C6" s="17" t="n">
        <x:v>53715.41</x:v>
      </x:c>
      <x:c r="D6" s="17" t="n">
        <x:v>48764.139</x:v>
      </x:c>
      <x:c r="E6" s="17" t="n">
        <x:v>80563.594</x:v>
      </x:c>
      <x:c r="F6" s="1"/>
      <x:c r="G6" s="44" t="str">
        <x:v>P: Note 5, I-54; segment revenue, FY2015–2017. RMB thousands divided by 1,000.</x:v>
      </x:c>
      <x:c r="H6" s="44"/>
      <x:c r="I6" s="44"/>
    </x:row>
    <x:row r="7" ht="23" customHeight="1">
      <x:c r="A7" s="1"/>
      <x:c r="B7" s="1" t="str">
        <x:v>IoT / lifestyle revenue</x:v>
      </x:c>
      <x:c r="C7" s="17" t="n">
        <x:v>8690.563</x:v>
      </x:c>
      <x:c r="D7" s="17" t="n">
        <x:v>12415.438</x:v>
      </x:c>
      <x:c r="E7" s="17" t="n">
        <x:v>23447.823</x:v>
      </x:c>
      <x:c r="F7" s="1"/>
      <x:c r="G7" s="44"/>
      <x:c r="H7" s="44"/>
      <x:c r="I7" s="44"/>
    </x:row>
    <x:row r="8" ht="23" customHeight="1">
      <x:c r="A8" s="1"/>
      <x:c r="B8" s="1" t="str">
        <x:v>Internet-services revenue</x:v>
      </x:c>
      <x:c r="C8" s="17" t="n">
        <x:v>3239.454</x:v>
      </x:c>
      <x:c r="D8" s="17" t="n">
        <x:v>6537.769</x:v>
      </x:c>
      <x:c r="E8" s="17" t="n">
        <x:v>9896.389</x:v>
      </x:c>
      <x:c r="F8" s="1"/>
      <x:c r="G8" s="44"/>
      <x:c r="H8" s="44"/>
      <x:c r="I8" s="44"/>
    </x:row>
    <x:row r="9" ht="23" customHeight="1">
      <x:c r="A9" s="1"/>
      <x:c r="B9" s="1" t="str">
        <x:v>Other revenue</x:v>
      </x:c>
      <x:c r="C9" s="17" t="n">
        <x:v>1165.831</x:v>
      </x:c>
      <x:c r="D9" s="17" t="n">
        <x:v>716.815</x:v>
      </x:c>
      <x:c r="E9" s="17" t="n">
        <x:v>716.936</x:v>
      </x:c>
      <x:c r="F9" s="1"/>
      <x:c r="G9" s="44"/>
      <x:c r="H9" s="44"/>
      <x:c r="I9" s="44"/>
    </x:row>
    <x:row r="10" ht="23" customHeight="1">
      <x:c r="A10" s="1"/>
      <x:c r="B10" s="1" t="str">
        <x:v>Group revenue</x:v>
      </x:c>
      <x:c r="C10" s="24" t="n">
        <x:f>SUM(C6:C9)</x:f>
        <x:v>66811.25800000002</x:v>
      </x:c>
      <x:c r="D10" s="24" t="n">
        <x:f>SUM(D6:D9)</x:f>
        <x:v>68434.16100000001</x:v>
      </x:c>
      <x:c r="E10" s="24" t="n">
        <x:f>SUM(E6:E9)</x:f>
        <x:v>114624.742</x:v>
      </x:c>
      <x:c r="F10" s="1"/>
      <x:c r="G10" s="1"/>
      <x:c r="H10" s="1"/>
      <x:c r="I10" s="1"/>
    </x:row>
    <x:row r="11" ht="23" customHeight="1">
      <x:c r="A11" s="1"/>
      <x:c r="B11" s="1"/>
      <x:c r="C11" s="25"/>
      <x:c r="D11" s="25"/>
      <x:c r="E11" s="25"/>
      <x:c r="F11" s="1"/>
      <x:c r="G11" s="1"/>
      <x:c r="H11" s="1"/>
      <x:c r="I11" s="1"/>
    </x:row>
    <x:row r="12" ht="23" customHeight="1">
      <x:c r="A12" s="1"/>
      <x:c r="B12" s="1" t="str">
        <x:v>Smartphone cost of sales</x:v>
      </x:c>
      <x:c r="C12" s="17" t="n">
        <x:v>53886.309</x:v>
      </x:c>
      <x:c r="D12" s="17" t="n">
        <x:v>47082.377</x:v>
      </x:c>
      <x:c r="E12" s="17" t="n">
        <x:v>73462.255</x:v>
      </x:c>
      <x:c r="F12" s="1"/>
      <x:c r="G12" s="44" t="str">
        <x:v>P: Note 5, I-54; segment cost of sales, FY2015–2017. RMB thousands divided by 1,000.</x:v>
      </x:c>
      <x:c r="H12" s="44"/>
      <x:c r="I12" s="44"/>
    </x:row>
    <x:row r="13" ht="23" customHeight="1">
      <x:c r="A13" s="1"/>
      <x:c r="B13" s="1" t="str">
        <x:v>IoT / lifestyle cost of sales</x:v>
      </x:c>
      <x:c r="C13" s="17" t="n">
        <x:v>8655.686</x:v>
      </x:c>
      <x:c r="D13" s="17" t="n">
        <x:v>11402.565</x:v>
      </x:c>
      <x:c r="E13" s="17" t="n">
        <x:v>21496.958</x:v>
      </x:c>
      <x:c r="F13" s="1"/>
      <x:c r="G13" s="44"/>
      <x:c r="H13" s="44"/>
      <x:c r="I13" s="44"/>
    </x:row>
    <x:row r="14" ht="23" customHeight="1">
      <x:c r="A14" s="1"/>
      <x:c r="B14" s="1" t="str">
        <x:v>Internet-services cost of sales</x:v>
      </x:c>
      <x:c r="C14" s="17" t="n">
        <x:v>1160.777</x:v>
      </x:c>
      <x:c r="D14" s="17" t="n">
        <x:v>2329.294</x:v>
      </x:c>
      <x:c r="E14" s="17" t="n">
        <x:v>3935.638</x:v>
      </x:c>
      <x:c r="F14" s="1"/>
      <x:c r="G14" s="44"/>
      <x:c r="H14" s="44"/>
      <x:c r="I14" s="44"/>
    </x:row>
    <x:row r="15" ht="23" customHeight="1">
      <x:c r="A15" s="1"/>
      <x:c r="B15" s="1" t="str">
        <x:v>Other cost of sales</x:v>
      </x:c>
      <x:c r="C15" s="17" t="n">
        <x:v>408.553</x:v>
      </x:c>
      <x:c r="D15" s="17" t="n">
        <x:v>370.57</x:v>
      </x:c>
      <x:c r="E15" s="17" t="n">
        <x:v>575.686</x:v>
      </x:c>
      <x:c r="F15" s="1"/>
      <x:c r="G15" s="44"/>
      <x:c r="H15" s="44"/>
      <x:c r="I15" s="44"/>
    </x:row>
    <x:row r="16" ht="23" customHeight="1">
      <x:c r="A16" s="1"/>
      <x:c r="B16" s="1" t="str">
        <x:v>Group cost of sales</x:v>
      </x:c>
      <x:c r="C16" s="24" t="n">
        <x:f>SUM(C12:C15)</x:f>
        <x:v>64111.325000000004</x:v>
      </x:c>
      <x:c r="D16" s="24" t="n">
        <x:f>SUM(D12:D15)</x:f>
        <x:v>61184.806000000004</x:v>
      </x:c>
      <x:c r="E16" s="24" t="n">
        <x:f>SUM(E12:E15)</x:f>
        <x:v>99470.53700000001</x:v>
      </x:c>
      <x:c r="F16" s="1"/>
      <x:c r="G16" s="1"/>
      <x:c r="H16" s="1"/>
      <x:c r="I16" s="1"/>
    </x:row>
    <x:row r="17" ht="23" customHeight="1">
      <x:c r="A17" s="1"/>
      <x:c r="B17" s="1"/>
      <x:c r="C17" s="25"/>
      <x:c r="D17" s="25"/>
      <x:c r="E17" s="25"/>
      <x:c r="F17" s="1"/>
      <x:c r="G17" s="1"/>
      <x:c r="H17" s="1"/>
      <x:c r="I17" s="1"/>
    </x:row>
    <x:row r="18" ht="23" customHeight="1">
      <x:c r="A18" s="1"/>
      <x:c r="B18" s="1" t="str">
        <x:v>Selling and marketing</x:v>
      </x:c>
      <x:c r="C18" s="17" t="n">
        <x:v>1912.765</x:v>
      </x:c>
      <x:c r="D18" s="17" t="n">
        <x:v>3022.313</x:v>
      </x:c>
      <x:c r="E18" s="17" t="n">
        <x:v>5231.54</x:v>
      </x:c>
      <x:c r="F18" s="1"/>
      <x:c r="G18" s="44" t="str">
        <x:v>P: I-4, consolidated income statements; opex, FY2015–2017. Outflows shown positive; RMB thousands / 1,000.</x:v>
      </x:c>
      <x:c r="H18" s="44"/>
      <x:c r="I18" s="44"/>
    </x:row>
    <x:row r="19" ht="23" customHeight="1">
      <x:c r="A19" s="1"/>
      <x:c r="B19" s="1" t="str">
        <x:v>Administrative expenses</x:v>
      </x:c>
      <x:c r="C19" s="17" t="n">
        <x:v>766.252</x:v>
      </x:c>
      <x:c r="D19" s="17" t="n">
        <x:v>926.833</x:v>
      </x:c>
      <x:c r="E19" s="17" t="n">
        <x:v>1216.11</x:v>
      </x:c>
      <x:c r="F19" s="1"/>
      <x:c r="G19" s="44"/>
      <x:c r="H19" s="44"/>
      <x:c r="I19" s="44"/>
    </x:row>
    <x:row r="20" ht="23" customHeight="1">
      <x:c r="A20" s="1"/>
      <x:c r="B20" s="1" t="str">
        <x:v>Research and development</x:v>
      </x:c>
      <x:c r="C20" s="17" t="n">
        <x:v>1511.815</x:v>
      </x:c>
      <x:c r="D20" s="17" t="n">
        <x:v>2104.226</x:v>
      </x:c>
      <x:c r="E20" s="17" t="n">
        <x:v>3151.401</x:v>
      </x:c>
      <x:c r="F20" s="1"/>
      <x:c r="G20" s="44"/>
      <x:c r="H20" s="44"/>
      <x:c r="I20" s="44"/>
    </x:row>
    <x:row r="21" ht="23" customHeight="1">
      <x:c r="A21" s="1"/>
      <x:c r="B21" s="1"/>
      <x:c r="C21" s="25"/>
      <x:c r="D21" s="25"/>
      <x:c r="E21" s="25"/>
      <x:c r="F21" s="1"/>
      <x:c r="G21" s="1"/>
      <x:c r="H21" s="1"/>
      <x:c r="I21" s="1"/>
    </x:row>
    <x:row r="22" ht="23" customHeight="1">
      <x:c r="A22" s="1"/>
      <x:c r="B22" s="1" t="str">
        <x:v>Depreciation (case definition)</x:v>
      </x:c>
      <x:c r="C22" s="17" t="n">
        <x:v>142.24</x:v>
      </x:c>
      <x:c r="D22" s="17" t="n">
        <x:v>139.941</x:v>
      </x:c>
      <x:c r="E22" s="17" t="n">
        <x:v>166.515</x:v>
      </x:c>
      <x:c r="F22" s="1"/>
      <x:c r="G22" s="44" t="str">
        <x:v>P: Note 36, I-107; depreciation and intangible amortization. Both matched to case inputs; RMB thousands / 1,000.</x:v>
      </x:c>
      <x:c r="H22" s="44"/>
      <x:c r="I22" s="44"/>
    </x:row>
    <x:row r="23" ht="23" customHeight="1">
      <x:c r="A23" s="1"/>
      <x:c r="B23" s="1" t="str">
        <x:v>Intangible amortization</x:v>
      </x:c>
      <x:c r="C23" s="17" t="n">
        <x:v>64.221</x:v>
      </x:c>
      <x:c r="D23" s="17" t="n">
        <x:v>100.09</x:v>
      </x:c>
      <x:c r="E23" s="17" t="n">
        <x:v>194.441</x:v>
      </x:c>
      <x:c r="F23" s="1"/>
      <x:c r="G23" s="44"/>
      <x:c r="H23" s="44"/>
      <x:c r="I23" s="44"/>
    </x:row>
    <x:row r="24" ht="23" customHeight="1">
      <x:c r="A24" s="1"/>
      <x:c r="B24" s="1" t="str">
        <x:v>Depreciation and amortization</x:v>
      </x:c>
      <x:c r="C24" s="24" t="n">
        <x:f>SUM(C22:C23)</x:f>
        <x:v>206.461</x:v>
      </x:c>
      <x:c r="D24" s="24" t="n">
        <x:f>SUM(D22:D23)</x:f>
        <x:v>240.031</x:v>
      </x:c>
      <x:c r="E24" s="24" t="n">
        <x:f>SUM(E22:E23)</x:f>
        <x:v>360.956</x:v>
      </x:c>
      <x:c r="F24" s="1"/>
      <x:c r="G24" s="1"/>
      <x:c r="H24" s="1"/>
      <x:c r="I24" s="1"/>
    </x:row>
    <x:row r="25" ht="23" customHeight="1">
      <x:c r="A25" s="1"/>
      <x:c r="B25" s="1"/>
      <x:c r="C25" s="25"/>
      <x:c r="D25" s="25"/>
      <x:c r="E25" s="25"/>
      <x:c r="F25" s="1"/>
      <x:c r="G25" s="1"/>
      <x:c r="H25" s="1"/>
      <x:c r="I25" s="1"/>
    </x:row>
    <x:row r="26" ht="23" customHeight="1">
      <x:c r="A26" s="1"/>
      <x:c r="B26" s="1" t="str">
        <x:v>Net property and equipment</x:v>
      </x:c>
      <x:c r="C26" s="17" t="n">
        <x:v>290.183</x:v>
      </x:c>
      <x:c r="D26" s="17" t="n">
        <x:v>848.377</x:v>
      </x:c>
      <x:c r="E26" s="17" t="n">
        <x:v>1730.872</x:v>
      </x:c>
      <x:c r="F26" s="1"/>
      <x:c r="G26" s="44" t="str">
        <x:v>P: I-6, consolidated balance sheets, 31 Dec 2015–2017. Net PPE and intangibles / 1,000; sum calculated.</x:v>
      </x:c>
      <x:c r="H26" s="44"/>
      <x:c r="I26" s="44"/>
    </x:row>
    <x:row r="27" ht="23" customHeight="1">
      <x:c r="A27" s="1"/>
      <x:c r="B27" s="1" t="str">
        <x:v>Net intangible assets</x:v>
      </x:c>
      <x:c r="C27" s="17" t="n">
        <x:v>553.759</x:v>
      </x:c>
      <x:c r="D27" s="17" t="n">
        <x:v>1120.133</x:v>
      </x:c>
      <x:c r="E27" s="17" t="n">
        <x:v>2274.352</x:v>
      </x:c>
      <x:c r="F27" s="1"/>
      <x:c r="G27" s="44"/>
      <x:c r="H27" s="44"/>
      <x:c r="I27" s="44"/>
    </x:row>
    <x:row r="28" ht="23" customHeight="1">
      <x:c r="A28" s="1"/>
      <x:c r="B28" s="1" t="str">
        <x:v>Selected net fixed assets</x:v>
      </x:c>
      <x:c r="C28" s="24" t="n">
        <x:f>SUM(C26:C27)</x:f>
        <x:v>843.942</x:v>
      </x:c>
      <x:c r="D28" s="24" t="n">
        <x:f>SUM(D26:D27)</x:f>
        <x:v>1968.51</x:v>
      </x:c>
      <x:c r="E28" s="24" t="n">
        <x:f>SUM(E26:E27)</x:f>
        <x:v>4005.224</x:v>
      </x:c>
      <x:c r="F28" s="1"/>
      <x:c r="G28" s="44"/>
      <x:c r="H28" s="44"/>
      <x:c r="I28" s="44"/>
    </x:row>
    <x:row r="29" ht="23" customHeight="1">
      <x:c r="A29" s="1"/>
      <x:c r="B29" s="1"/>
      <x:c r="C29" s="25"/>
      <x:c r="D29" s="25"/>
      <x:c r="E29" s="25"/>
      <x:c r="F29" s="1"/>
      <x:c r="G29" s="1"/>
      <x:c r="H29" s="1"/>
      <x:c r="I29" s="1"/>
    </x:row>
    <x:row r="30" ht="23" customHeight="1">
      <x:c r="A30" s="1"/>
      <x:c r="B30" s="1" t="str">
        <x:v>Net trade receivables</x:v>
      </x:c>
      <x:c r="C30" s="17" t="n">
        <x:v>1470.155</x:v>
      </x:c>
      <x:c r="D30" s="17" t="n">
        <x:v>2089.518</x:v>
      </x:c>
      <x:c r="E30" s="17" t="n">
        <x:v>5469.507</x:v>
      </x:c>
      <x:c r="F30" s="1"/>
      <x:c r="G30" s="44" t="str">
        <x:v>P: I-6 and I-7; net trade receivables, inventory, trade payables, customer advances / 1,000. Selected WC calculated.</x:v>
      </x:c>
      <x:c r="H30" s="44"/>
      <x:c r="I30" s="44"/>
    </x:row>
    <x:row r="31" ht="23" customHeight="1">
      <x:c r="A31" s="1"/>
      <x:c r="B31" s="1" t="str">
        <x:v>Inventories (public prospectus)</x:v>
      </x:c>
      <x:c r="C31" s="17" t="n">
        <x:v>8643.183</x:v>
      </x:c>
      <x:c r="D31" s="17" t="n">
        <x:v>8378.342</x:v>
      </x:c>
      <x:c r="E31" s="17" t="n">
        <x:v>16342.928</x:v>
      </x:c>
      <x:c r="F31" s="1"/>
      <x:c r="G31" s="44"/>
      <x:c r="H31" s="44"/>
      <x:c r="I31" s="44"/>
    </x:row>
    <x:row r="32" ht="23" customHeight="1">
      <x:c r="A32" s="1"/>
      <x:c r="B32" s="1" t="str">
        <x:v>Trade payables</x:v>
      </x:c>
      <x:c r="C32" s="17" t="n">
        <x:v>14225.54</x:v>
      </x:c>
      <x:c r="D32" s="17" t="n">
        <x:v>17577.702</x:v>
      </x:c>
      <x:c r="E32" s="17" t="n">
        <x:v>34003.331</x:v>
      </x:c>
      <x:c r="F32" s="1"/>
      <x:c r="G32" s="44"/>
      <x:c r="H32" s="44"/>
      <x:c r="I32" s="44"/>
    </x:row>
    <x:row r="33" ht="23" customHeight="1">
      <x:c r="A33" s="1"/>
      <x:c r="B33" s="1" t="str">
        <x:v>Customer advances</x:v>
      </x:c>
      <x:c r="C33" s="17" t="n">
        <x:v>530.675</x:v>
      </x:c>
      <x:c r="D33" s="17" t="n">
        <x:v>1836.174</x:v>
      </x:c>
      <x:c r="E33" s="17" t="n">
        <x:v>3390.65</x:v>
      </x:c>
      <x:c r="F33" s="1"/>
      <x:c r="G33" s="44"/>
      <x:c r="H33" s="44"/>
      <x:c r="I33" s="44"/>
    </x:row>
    <x:row r="34" ht="23" customHeight="1">
      <x:c r="A34" s="1"/>
      <x:c r="B34" s="1" t="str">
        <x:v>Selected trade working capital</x:v>
      </x:c>
      <x:c r="C34" s="24" t="n">
        <x:f>C30+C31-C32-C33</x:f>
        <x:v>-4642.8769999999995</x:v>
      </x:c>
      <x:c r="D34" s="24" t="n">
        <x:f>D30+D31-D32-D33</x:f>
        <x:v>-8946.016</x:v>
      </x:c>
      <x:c r="E34" s="24" t="n">
        <x:f>E30+E31-E32-E33</x:f>
        <x:v>-15581.546</x:v>
      </x:c>
      <x:c r="F34" s="1"/>
      <x:c r="G34" s="44"/>
      <x:c r="H34" s="44"/>
      <x:c r="I34" s="44"/>
    </x:row>
    <x:row r="35" ht="23" customHeight="1">
      <x:c r="A35" s="1"/>
      <x:c r="B35" s="1"/>
      <x:c r="C35" s="25"/>
      <x:c r="D35" s="25"/>
      <x:c r="E35" s="25"/>
      <x:c r="F35" s="1"/>
      <x:c r="G35" s="1"/>
      <x:c r="H35" s="1"/>
      <x:c r="I35" s="1"/>
    </x:row>
    <x:row r="36" ht="23" customHeight="1">
      <x:c r="A36" s="1"/>
      <x:c r="B36" s="1"/>
      <x:c r="C36" s="25"/>
      <x:c r="D36" s="25"/>
      <x:c r="E36" s="25"/>
      <x:c r="F36" s="1"/>
      <x:c r="G36" s="1"/>
      <x:c r="H36" s="1"/>
      <x:c r="I36" s="1"/>
    </x:row>
    <x:row r="37" ht="23" customHeight="1">
      <x:c r="A37" s="1"/>
      <x:c r="B37" s="1"/>
      <x:c r="C37" s="25"/>
      <x:c r="D37" s="25"/>
      <x:c r="E37" s="25"/>
      <x:c r="F37" s="1"/>
      <x:c r="G37" s="1"/>
      <x:c r="H37" s="1"/>
      <x:c r="I37" s="1"/>
    </x:row>
    <x:row r="38" ht="23" customHeight="1">
      <x:c r="A38" s="1"/>
      <x:c r="B38" s="1" t="str">
        <x:v>Selling / group revenue</x:v>
      </x:c>
      <x:c r="C38" s="26" t="n">
        <x:f>C18/C10</x:f>
        <x:v>0.02862938159314407</x:v>
      </x:c>
      <x:c r="D38" s="26" t="n">
        <x:f>D18/D10</x:f>
        <x:v>0.044163805851291135</x:v>
      </x:c>
      <x:c r="E38" s="26" t="n">
        <x:f>E18/E10</x:f>
        <x:v>0.04564058255415746</x:v>
      </x:c>
      <x:c r="F38" s="1"/>
      <x:c r="G38" s="1"/>
      <x:c r="H38" s="1"/>
      <x:c r="I38" s="1"/>
    </x:row>
    <x:row r="39" ht="23" customHeight="1">
      <x:c r="A39" s="1"/>
      <x:c r="B39" s="1" t="str">
        <x:v>Admin / group revenue</x:v>
      </x:c>
      <x:c r="C39" s="26" t="n">
        <x:f>C19/C10</x:f>
        <x:v>0.011468905435069038</x:v>
      </x:c>
      <x:c r="D39" s="26" t="n">
        <x:f>D19/D10</x:f>
        <x:v>0.013543426067574641</x:v>
      </x:c>
      <x:c r="E39" s="26" t="n">
        <x:f>E19/E10</x:f>
        <x:v>0.010609489528883737</x:v>
      </x:c>
      <x:c r="F39" s="1"/>
      <x:c r="G39" s="1"/>
      <x:c r="H39" s="1"/>
      <x:c r="I39" s="1"/>
    </x:row>
    <x:row r="40" ht="23" customHeight="1">
      <x:c r="A40" s="1"/>
      <x:c r="B40" s="1" t="str">
        <x:v>R&amp;D / group revenue</x:v>
      </x:c>
      <x:c r="C40" s="26" t="n">
        <x:f>C20/C10</x:f>
        <x:v>0.02262814748975389</x:v>
      </x:c>
      <x:c r="D40" s="26" t="n">
        <x:f>D20/D10</x:f>
        <x:v>0.030748181452827338</x:v>
      </x:c>
      <x:c r="E40" s="26" t="n">
        <x:f>E20/E10</x:f>
        <x:v>0.0274932003772798</x:v>
      </x:c>
      <x:c r="F40" s="1"/>
      <x:c r="G40" s="1"/>
      <x:c r="H40" s="1"/>
      <x:c r="I40" s="1"/>
    </x:row>
    <x:row r="41" ht="23" customHeight="1">
      <x:c r="A41" s="1"/>
      <x:c r="B41" s="1" t="str">
        <x:v>D&amp;A / group revenue</x:v>
      </x:c>
      <x:c r="C41" s="26" t="n">
        <x:f>C24/C10</x:f>
        <x:v>0.0030902127303156</x:v>
      </x:c>
      <x:c r="D41" s="26" t="n">
        <x:f>D24/D10</x:f>
        <x:v>0.003507473409369335</x:v>
      </x:c>
      <x:c r="E41" s="26" t="n">
        <x:f>E24/E10</x:f>
        <x:v>0.003149023445566403</x:v>
      </x:c>
      <x:c r="F41" s="1"/>
      <x:c r="G41" s="1"/>
      <x:c r="H41" s="1"/>
      <x:c r="I41" s="1"/>
    </x:row>
    <x:row r="42" ht="23" customHeight="1">
      <x:c r="A42" s="1"/>
      <x:c r="B42" s="1"/>
      <x:c r="C42" s="25"/>
      <x:c r="D42" s="25"/>
      <x:c r="E42" s="25"/>
      <x:c r="F42" s="1"/>
      <x:c r="G42" s="1"/>
      <x:c r="H42" s="1"/>
      <x:c r="I42" s="1"/>
    </x:row>
    <x:row r="43" ht="23" customHeight="1">
      <x:c r="A43" s="1"/>
      <x:c r="B43" s="1" t="str">
        <x:v>Three-segment revenue</x:v>
      </x:c>
      <x:c r="C43" s="24" t="n">
        <x:f>SUM(C6:C8)</x:f>
        <x:v>65645.42700000001</x:v>
      </x:c>
      <x:c r="D43" s="24" t="n">
        <x:f>SUM(D6:D8)</x:f>
        <x:v>67717.346</x:v>
      </x:c>
      <x:c r="E43" s="24" t="n">
        <x:f>SUM(E6:E8)</x:f>
        <x:v>113907.806</x:v>
      </x:c>
      <x:c r="F43" s="1"/>
      <x:c r="G43" s="1"/>
      <x:c r="H43" s="1"/>
      <x:c r="I43" s="1"/>
    </x:row>
    <x:row r="44" ht="23" customHeight="1">
      <x:c r="A44" s="1"/>
      <x:c r="B44" s="1" t="str">
        <x:v>Three-segment gross profit</x:v>
      </x:c>
      <x:c r="C44" s="24" t="n">
        <x:f>C43-SUM(C12:C14)</x:f>
        <x:v>1942.655000000006</x:v>
      </x:c>
      <x:c r="D44" s="24" t="n">
        <x:f>D43-SUM(D12:D14)</x:f>
        <x:v>6903.110000000001</x:v>
      </x:c>
      <x:c r="E44" s="24" t="n">
        <x:f>E43-SUM(E12:E14)</x:f>
        <x:v>15012.954999999987</x:v>
      </x:c>
      <x:c r="F44" s="1"/>
      <x:c r="G44" s="1"/>
      <x:c r="H44" s="1"/>
      <x:c r="I44" s="1"/>
    </x:row>
    <x:row r="45" ht="23" customHeight="1">
      <x:c r="A45" s="1"/>
      <x:c r="B45" s="1" t="str">
        <x:v>Core EBIT proxy</x:v>
      </x:c>
      <x:c r="C45" s="24" t="n">
        <x:f>C44-SUM(C18:C20)</x:f>
        <x:v>-2248.176999999994</x:v>
      </x:c>
      <x:c r="D45" s="24" t="n">
        <x:f>D44-SUM(D18:D20)</x:f>
        <x:v>849.7380000000003</x:v>
      </x:c>
      <x:c r="E45" s="24" t="n">
        <x:f>E44-SUM(E18:E20)</x:f>
        <x:v>5413.903999999988</x:v>
      </x:c>
      <x:c r="F45" s="1"/>
      <x:c r="G45" s="1"/>
      <x:c r="H45" s="1"/>
      <x:c r="I45" s="1"/>
    </x:row>
    <x:row r="46" ht="23" customHeight="1">
      <x:c r="A46" s="1"/>
      <x:c r="B46" s="1" t="str">
        <x:v>Net fixed assets / core revenue</x:v>
      </x:c>
      <x:c r="C46" s="26" t="n">
        <x:f>C28/C43</x:f>
        <x:v>0.012856066881856063</x:v>
      </x:c>
      <x:c r="D46" s="26" t="n">
        <x:f>D28/D43</x:f>
        <x:v>0.029069509014721277</x:v>
      </x:c>
      <x:c r="E46" s="26" t="n">
        <x:f>E28/E43</x:f>
        <x:v>0.0351619800314651</x:v>
      </x:c>
      <x:c r="F46" s="1"/>
      <x:c r="G46" s="1"/>
      <x:c r="H46" s="1"/>
      <x:c r="I46" s="1"/>
    </x:row>
    <x:row r="47" ht="23" customHeight="1">
      <x:c r="A47" s="1"/>
      <x:c r="B47" s="1" t="str">
        <x:v>Trade WC / core revenue</x:v>
      </x:c>
      <x:c r="C47" s="26" t="n">
        <x:f>C34/C43</x:f>
        <x:v>-0.07072658694108272</x:v>
      </x:c>
      <x:c r="D47" s="26" t="n">
        <x:f>D34/D43</x:f>
        <x:v>-0.13210818982775843</x:v>
      </x:c>
      <x:c r="E47" s="26" t="n">
        <x:f>E34/E43</x:f>
        <x:v>-0.13679085347320272</x:v>
      </x:c>
      <x:c r="F47" s="1"/>
      <x:c r="G47" s="1"/>
      <x:c r="H47" s="1"/>
      <x:c r="I47" s="1"/>
    </x:row>
    <x:row r="48" ht="23" customHeight="1">
      <x:c r="A48" s="1"/>
      <x:c r="B48" s="1" t="str">
        <x:v>Smartphone cost ratio</x:v>
      </x:c>
      <x:c r="C48" s="26" t="n">
        <x:f>C12/C6</x:f>
        <x:v>1.0031815637263124</x:v>
      </x:c>
      <x:c r="D48" s="26" t="n">
        <x:f>D12/D6</x:f>
        <x:v>0.9655123204369506</x:v>
      </x:c>
      <x:c r="E48" s="26" t="n">
        <x:f>E12/E6</x:f>
        <x:v>0.9118542427489023</x:v>
      </x:c>
      <x:c r="F48" s="1"/>
      <x:c r="G48" s="1"/>
      <x:c r="H48" s="1"/>
      <x:c r="I48" s="1"/>
    </x:row>
    <x:row r="49" ht="23" customHeight="1">
      <x:c r="A49" s="1"/>
      <x:c r="B49" s="1" t="str">
        <x:v>IoT cost ratio</x:v>
      </x:c>
      <x:c r="C49" s="26" t="n">
        <x:f>C13/C7</x:f>
        <x:v>0.9959867962524407</x:v>
      </x:c>
      <x:c r="D49" s="26" t="n">
        <x:f>D13/D7</x:f>
        <x:v>0.9184182628111872</x:v>
      </x:c>
      <x:c r="E49" s="26" t="n">
        <x:f>E13/E7</x:f>
        <x:v>0.9167997387220126</x:v>
      </x:c>
      <x:c r="F49" s="1"/>
      <x:c r="G49" s="1"/>
      <x:c r="H49" s="1"/>
      <x:c r="I49" s="1"/>
    </x:row>
    <x:row r="50" ht="23" customHeight="1">
      <x:c r="A50" s="1"/>
      <x:c r="B50" s="1" t="str">
        <x:v>Internet cost ratio</x:v>
      </x:c>
      <x:c r="C50" s="26" t="n">
        <x:f>C14/C8</x:f>
        <x:v>0.35832489055254374</x:v>
      </x:c>
      <x:c r="D50" s="26" t="n">
        <x:f>D14/D8</x:f>
        <x:v>0.3562827013312951</x:v>
      </x:c>
      <x:c r="E50" s="26" t="n">
        <x:f>E14/E8</x:f>
        <x:v>0.3976842462437562</x:v>
      </x:c>
      <x:c r="F50" s="1"/>
      <x:c r="G50" s="1"/>
      <x:c r="H50" s="1"/>
      <x:c r="I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</x:row>
    <x:row r="53" ht="38" customHeight="1">
      <x:c r="A53" s="1"/>
      <x:c r="B53" s="5" t="str">
        <x:v>Data: Xiaomi public 25 June 2018 prospectus, segment information and consolidated balance sheets. D&amp;A uses the case definition. Forecast growth and terminal growth come from case Exhibit 5.</x:v>
      </x:c>
      <x:c r="C53" s="5"/>
      <x:c r="D53" s="5"/>
      <x:c r="E53" s="5"/>
      <x:c r="F53" s="5"/>
      <x:c r="G53" s="5"/>
      <x:c r="H53" s="5"/>
      <x:c r="I53" s="5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</x:row>
    <x:row r="55" ht="38" customHeight="1">
      <x:c r="A55" s="1"/>
      <x:c r="B55" s="5" t="str">
        <x:v>https://www1.hkexnews.hk/listedco/listconews/sehk/2018/0625/ltn20180625033.pdf</x:v>
      </x:c>
      <x:c r="C55" s="5"/>
      <x:c r="D55" s="5"/>
      <x:c r="E55" s="5"/>
      <x:c r="F55" s="5"/>
      <x:c r="G55" s="5"/>
      <x:c r="H55" s="5"/>
      <x:c r="I55" s="5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</x:row>
    <x:row r="57" ht="38" customHeight="1">
      <x:c r="A57" s="1"/>
      <x:c r="B57" s="5" t="str">
        <x:v>Public inventories and net trade receivables are used instead of the case provider’s broader classifications. This avoids treating loan receivables as ordinary customer receivables.</x:v>
      </x:c>
      <x:c r="C57" s="5"/>
      <x:c r="D57" s="5"/>
      <x:c r="E57" s="5"/>
      <x:c r="F57" s="5"/>
      <x:c r="G57" s="5"/>
      <x:c r="H57" s="5"/>
      <x:c r="I57" s="5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</x:row>
    <x:row r="59" ht="38" customHeight="1">
      <x:c r="A59" s="1"/>
      <x:c r="B59" s="5" t="str">
        <x:v>Reported cash-flow reference (RMB millions). These figures support a reasonableness check; they do not replace or equal the selected-business FCFF forecast.</x:v>
      </x:c>
      <x:c r="C59" s="5"/>
      <x:c r="D59" s="5"/>
      <x:c r="E59" s="5"/>
      <x:c r="F59" s="5"/>
      <x:c r="G59" s="5"/>
      <x:c r="H59" s="5"/>
      <x:c r="I59" s="5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</x:row>
    <x:row r="61" ht="26" customHeight="1">
      <x:c r="A61" s="1"/>
      <x:c r="B61" s="1" t="str">
        <x:v>Cash generated from operations (pre-tax)</x:v>
      </x:c>
      <x:c r="C61" s="29" t="n">
        <x:v>-2293.755</x:v>
      </x:c>
      <x:c r="D61" s="29" t="n">
        <x:v>4714.517</x:v>
      </x:c>
      <x:c r="E61" s="29" t="n">
        <x:v>527.321</x:v>
      </x:c>
      <x:c r="F61" s="1"/>
      <x:c r="G61" s="44" t="str">
        <x:v>P: I-14, consolidated cash-flow statement; all reported cash amounts in RMB thousands / 1,000. Capex is disclosed in aggregate; no asset-class split is invented. CFO and capex are signed cash flows.</x:v>
      </x:c>
      <x:c r="H61" s="44"/>
      <x:c r="I61" s="44"/>
    </x:row>
    <x:row r="62" ht="26" customHeight="1">
      <x:c r="A62" s="1"/>
      <x:c r="B62" s="1" t="str">
        <x:v>Income tax paid (cash outflow)</x:v>
      </x:c>
      <x:c r="C62" s="29" t="n">
        <x:v>-307.556</x:v>
      </x:c>
      <x:c r="D62" s="29" t="n">
        <x:v>-183.253</x:v>
      </x:c>
      <x:c r="E62" s="29" t="n">
        <x:v>-1522.99</x:v>
      </x:c>
      <x:c r="F62" s="1"/>
      <x:c r="G62" s="44"/>
      <x:c r="H62" s="44"/>
      <x:c r="I62" s="44"/>
    </x:row>
    <x:row r="63" ht="26" customHeight="1">
      <x:c r="A63" s="1"/>
      <x:c r="B63" s="1" t="str">
        <x:v>Calculated net operating cash flow</x:v>
      </x:c>
      <x:c r="C63" s="45" t="n">
        <x:f>SUM(C61:C62)</x:f>
        <x:v>-2601.311</x:v>
      </x:c>
      <x:c r="D63" s="45" t="n">
        <x:f>SUM(D61:D62)</x:f>
        <x:v>4531.264</x:v>
      </x:c>
      <x:c r="E63" s="45" t="n">
        <x:f>SUM(E61:E62)</x:f>
        <x:v>-995.669</x:v>
      </x:c>
      <x:c r="F63" s="1"/>
      <x:c r="G63" s="44"/>
      <x:c r="H63" s="44"/>
      <x:c r="I63" s="44"/>
    </x:row>
    <x:row r="64" ht="26" customHeight="1">
      <x:c r="A64" s="1"/>
      <x:c r="B64" s="1" t="str">
        <x:v>Reported net operating cash flow</x:v>
      </x:c>
      <x:c r="C64" s="29" t="n">
        <x:v>-2601.311</x:v>
      </x:c>
      <x:c r="D64" s="29" t="n">
        <x:v>4531.264</x:v>
      </x:c>
      <x:c r="E64" s="29" t="n">
        <x:v>-995.669</x:v>
      </x:c>
      <x:c r="F64" s="1"/>
      <x:c r="G64" s="44"/>
      <x:c r="H64" s="44"/>
      <x:c r="I64" s="44"/>
    </x:row>
    <x:row r="65" ht="26" customHeight="1">
      <x:c r="A65" s="1"/>
      <x:c r="B65" s="1" t="str">
        <x:v>Calculated less reported CFO</x:v>
      </x:c>
      <x:c r="C65" s="45" t="n">
        <x:f>C63-C64</x:f>
        <x:v>0</x:v>
      </x:c>
      <x:c r="D65" s="45" t="n">
        <x:f>D63-D64</x:f>
        <x:v>0</x:v>
      </x:c>
      <x:c r="E65" s="45" t="n">
        <x:f>E63-E64</x:f>
        <x:v>0</x:v>
      </x:c>
      <x:c r="F65" s="1"/>
      <x:c r="G65" s="44"/>
      <x:c r="H65" s="44"/>
      <x:c r="I65" s="44"/>
    </x:row>
    <x:row r="66" ht="26" customHeight="1">
      <x:c r="A66" s="1"/>
      <x:c r="B66" s="1" t="str">
        <x:v>Reported cash capital expenditures</x:v>
      </x:c>
      <x:c r="C66" s="29" t="n">
        <x:v>-2524.356</x:v>
      </x:c>
      <x:c r="D66" s="29" t="n">
        <x:v>-1826.245</x:v>
      </x:c>
      <x:c r="E66" s="29" t="n">
        <x:v>-1217.806</x:v>
      </x:c>
      <x:c r="F66" s="1"/>
      <x:c r="G66" s="44"/>
      <x:c r="H66" s="44"/>
      <x:c r="I66" s="44"/>
    </x:row>
    <x:row r="67" ht="26" customHeight="1">
      <x:c r="A67" s="1"/>
      <x:c r="B67" s="1" t="str">
        <x:v>CFO less cash capex (not FCFF)</x:v>
      </x:c>
      <x:c r="C67" s="45" t="n">
        <x:f>SUM(C64,C66)</x:f>
        <x:v>-5125.667</x:v>
      </x:c>
      <x:c r="D67" s="45" t="n">
        <x:f>SUM(D64,D66)</x:f>
        <x:v>2705.0190000000002</x:v>
      </x:c>
      <x:c r="E67" s="45" t="n">
        <x:f>SUM(E64,E66)</x:f>
        <x:v>-2213.475</x:v>
      </x:c>
      <x:c r="F67" s="1"/>
      <x:c r="G67" s="44"/>
      <x:c r="H67" s="44"/>
      <x:c r="I67" s="44"/>
    </x:row>
    <x:row r="68" ht="26" customHeight="1">
      <x:c r="A68" s="1"/>
      <x:c r="B68" s="1"/>
      <x:c r="C68" s="46"/>
      <x:c r="D68" s="46"/>
      <x:c r="E68" s="46"/>
      <x:c r="F68" s="1"/>
      <x:c r="G68" s="1"/>
      <x:c r="H68" s="1"/>
      <x:c r="I68" s="1"/>
    </x:row>
    <x:row r="69" ht="26" customHeight="1">
      <x:c r="A69" s="1"/>
      <x:c r="B69" s="1" t="str">
        <x:v>Net-asset capex proxy (positive spend)</x:v>
      </x:c>
      <x:c r="C69" s="46" t="str">
        <x:v>n.a.</x:v>
      </x:c>
      <x:c r="D69" s="45" t="n">
        <x:f>D28-C28+D24</x:f>
        <x:v>1364.599</x:v>
      </x:c>
      <x:c r="E69" s="45" t="n">
        <x:f>E28-D28+E24</x:f>
        <x:v>2397.67</x:v>
      </x:c>
      <x:c r="F69" s="1"/>
      <x:c r="G69" s="44" t="str">
        <x:v>Calculated from selected net PPE/intangibles plus D&amp;A. Not cash capex: acquisitions, FX, non-cash additions and other differences are not bridged here. FY2015 lacks opening 2014 data.</x:v>
      </x:c>
      <x:c r="H69" s="44"/>
      <x:c r="I69" s="44"/>
    </x:row>
    <x:row r="70" ht="26" customHeight="1">
      <x:c r="A70" s="1"/>
      <x:c r="B70" s="1" t="str">
        <x:v>Proxy less reported cash capex</x:v>
      </x:c>
      <x:c r="C70" s="46" t="str">
        <x:v>n.a.</x:v>
      </x:c>
      <x:c r="D70" s="45" t="n">
        <x:f>D69+D66</x:f>
        <x:v>-461.64599999999996</x:v>
      </x:c>
      <x:c r="E70" s="45" t="n">
        <x:f>E69+E66</x:f>
        <x:v>1179.864</x:v>
      </x:c>
      <x:c r="F70" s="1"/>
      <x:c r="G70" s="44"/>
      <x:c r="H70" s="44"/>
      <x:c r="I70" s="44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</x:row>
    <x:row r="72" ht="38" customHeight="1">
      <x:c r="A72" s="1"/>
      <x:c r="B72" s="5" t="str">
        <x:v>FY2017 reported cash capex is RMB1,217.806m; the selected net-asset proxy is RMB2,397.670m. Their RMB1,179.864m difference remains unallocated, not forced to zero.</x:v>
      </x:c>
      <x:c r="C72" s="5"/>
      <x:c r="D72" s="5"/>
      <x:c r="E72" s="5"/>
      <x:c r="F72" s="5"/>
      <x:c r="G72" s="5"/>
      <x:c r="H72" s="5"/>
      <x:c r="I72" s="5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</x:row>
    <x:row r="74" ht="38" customHeight="1">
      <x:c r="A74" s="1"/>
      <x:c r="B74" s="5" t="str">
        <x:v>P = Xiaomi Global Offering Prospectus, 25 June 2018. Printed pages I-4 / I-6 / I-7 / I-14 / I-54 / I-107. Source link above; all displayed historical values are converted to RMB millions.</x:v>
      </x:c>
      <x:c r="C74" s="5"/>
      <x:c r="D74" s="5"/>
      <x:c r="E74" s="5"/>
      <x:c r="F74" s="5"/>
      <x:c r="G74" s="5"/>
      <x:c r="H74" s="5"/>
      <x:c r="I74" s="5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</x:row>
  </x:sheetData>
  <x:mergeCells>
    <x:mergeCell ref="B53:I53"/>
    <x:mergeCell ref="B55:I55"/>
    <x:mergeCell ref="B57:I57"/>
    <x:mergeCell ref="G6:I9"/>
    <x:mergeCell ref="G12:I15"/>
    <x:mergeCell ref="G18:I20"/>
    <x:mergeCell ref="G22:I23"/>
    <x:mergeCell ref="G26:I28"/>
    <x:mergeCell ref="G30:I34"/>
    <x:mergeCell ref="B59:I59"/>
    <x:mergeCell ref="G61:I67"/>
    <x:mergeCell ref="G69:I70"/>
    <x:mergeCell ref="B72:I72"/>
    <x:mergeCell ref="B74:I74"/>
  </x:mergeCells>
  <x:pageMargins left="0.7" right="0.7" top="0.75" bottom="0.75" header="0.3" footer="0.3"/>
</x:worksheet>
</file>