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9dae1a7a4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CC" sheetId="1" r:id="R100614d828ee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.00&quot;x&quot;"/>
    <x:numFmt numFmtId="202" formatCode="0.000"/>
    <x:numFmt numFmtId="203" formatCode="#,##0.0;(#,##0.0);&quot;–&quot;"/>
    <x:numFmt numFmtId="204" formatCode="0.0%"/>
    <x:numFmt numFmtId="205" formatCode="#,##0"/>
  </x:numFmts>
  <x:fonts count="6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6"/>
      <x:name val="Arial"/>
    </x:font>
    <x:font>
      <x:sz val="11"/>
      <x:color rgb="FF0000FF"/>
      <x:name val="Arial"/>
    </x:font>
    <x:font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6"/>
      </x:patternFill>
    </x:fill>
    <x:fill>
      <x:patternFill patternType="solid">
        <x:fgColor rgb="FF20386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03864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4" fontId="1" fillId="0" borderId="0" xfId="0" applyNumberFormat="1" applyFont="1" applyFill="1" applyBorder="1"/>
    <x:xf numFmtId="202" fontId="1" fillId="0" borderId="0" xfId="0" applyNumberFormat="1" applyFont="1" applyFill="1" applyBorder="1"/>
    <x:xf numFmtId="205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5b54dc20ea4e10" /><Relationship Type="http://schemas.openxmlformats.org/officeDocument/2006/relationships/theme" Target="/xl/theme/theme1.xml" Id="R4425f5e60861490b" /><Relationship Type="http://schemas.openxmlformats.org/officeDocument/2006/relationships/sharedStrings" Target="/xl/sharedStrings.xml" Id="R0b84196d582d469b" /><Relationship Type="http://schemas.openxmlformats.org/officeDocument/2006/relationships/worksheet" Target="/xl/worksheets/sheet1.xml" Id="R100614d828ee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1"/>
      <x:c r="B2" s="4" t="str">
        <x:v>Xiaomi IPO — WACC Analysis</x:v>
      </x:c>
      <x:c r="C2" s="4"/>
      <x:c r="D2" s="4"/>
      <x:c r="E2" s="4"/>
    </x:row>
    <x:row r="3" ht="34" customHeight="1">
      <x:c r="A3" s="1"/>
      <x:c r="B3" s="5" t="str">
        <x:v>Jiarong Xu | Historical coursework model, revised for portfolio presentation</x:v>
      </x:c>
      <x:c r="C3" s="5"/>
      <x:c r="D3" s="5"/>
      <x:c r="E3" s="5"/>
    </x:row>
    <x:row r="4" ht="24" customHeight="1">
      <x:c r="A4" s="1"/>
      <x:c r="B4" s="1"/>
      <x:c r="C4" s="1"/>
      <x:c r="D4" s="1"/>
      <x:c r="E4" s="1"/>
    </x:row>
    <x:row r="5" ht="24" customHeight="1">
      <x:c r="A5" s="1"/>
      <x:c r="B5" s="9" t="str">
        <x:v>Weighted average cost of capital</x:v>
      </x:c>
      <x:c r="C5" s="10" t="n">
        <x:f>C35</x:f>
        <x:v>0.08598840179488604</x:v>
      </x:c>
      <x:c r="D5" s="1"/>
      <x:c r="E5" s="1"/>
    </x:row>
    <x:row r="6" ht="24" customHeight="1">
      <x:c r="A6" s="1"/>
      <x:c r="B6" s="1"/>
      <x:c r="C6" s="1"/>
      <x:c r="D6" s="1"/>
      <x:c r="E6" s="1"/>
    </x:row>
    <x:row r="7" ht="24" customHeight="1">
      <x:c r="A7" s="1"/>
      <x:c r="B7" s="2" t="str">
        <x:v>1. Capital structure and return assumptions</x:v>
      </x:c>
      <x:c r="C7" s="2"/>
      <x:c r="D7" s="2"/>
      <x:c r="E7" s="2"/>
    </x:row>
    <x:row r="8" ht="24" customHeight="1">
      <x:c r="A8" s="1"/>
      <x:c r="B8" s="1" t="str">
        <x:v>Target debt / equity</x:v>
      </x:c>
      <x:c r="C8" s="12" t="n">
        <x:v>0.29</x:v>
      </x:c>
      <x:c r="D8" s="1"/>
      <x:c r="E8" s="1"/>
    </x:row>
    <x:row r="9" ht="24" customHeight="1">
      <x:c r="A9" s="1"/>
      <x:c r="B9" s="1" t="str">
        <x:v>Pre-tax cost of debt</x:v>
      </x:c>
      <x:c r="C9" s="13" t="n">
        <x:v>0.0605</x:v>
      </x:c>
      <x:c r="D9" s="1"/>
      <x:c r="E9" s="1"/>
    </x:row>
    <x:row r="10" ht="24" customHeight="1">
      <x:c r="A10" s="1"/>
      <x:c r="B10" s="1" t="str">
        <x:v>Xiaomi tax rate</x:v>
      </x:c>
      <x:c r="C10" s="13" t="n">
        <x:v>0.25</x:v>
      </x:c>
      <x:c r="D10" s="1"/>
      <x:c r="E10" s="1"/>
    </x:row>
    <x:row r="11" ht="24" customHeight="1">
      <x:c r="A11" s="1"/>
      <x:c r="B11" s="1" t="str">
        <x:v>RMB risk-free rate</x:v>
      </x:c>
      <x:c r="C11" s="13" t="n">
        <x:v>0.0355</x:v>
      </x:c>
      <x:c r="D11" s="1"/>
      <x:c r="E11" s="1"/>
    </x:row>
    <x:row r="12" ht="24" customHeight="1">
      <x:c r="A12" s="1"/>
      <x:c r="B12" s="1" t="str">
        <x:v>Equity risk premium</x:v>
      </x:c>
      <x:c r="C12" s="13" t="n">
        <x:v>0.0565</x:v>
      </x:c>
      <x:c r="D12" s="1"/>
      <x:c r="E12" s="1"/>
    </x:row>
    <x:row r="13" ht="24" customHeight="1">
      <x:c r="A13" s="1"/>
      <x:c r="B13" s="1"/>
      <x:c r="C13" s="1"/>
      <x:c r="D13" s="1"/>
      <x:c r="E13" s="1"/>
    </x:row>
    <x:row r="14" ht="24" customHeight="1">
      <x:c r="A14" s="1"/>
      <x:c r="B14" s="2" t="str">
        <x:v>2. Peer risk and business weights</x:v>
      </x:c>
      <x:c r="C14" s="2"/>
      <x:c r="D14" s="2"/>
      <x:c r="E14" s="2"/>
    </x:row>
    <x:row r="15" ht="30" customHeight="1">
      <x:c r="A15" s="1"/>
      <x:c r="B15" s="15" t="str">
        <x:v>Metric</x:v>
      </x:c>
      <x:c r="C15" s="15" t="str">
        <x:v>Smartphones</x:v>
      </x:c>
      <x:c r="D15" s="15" t="str">
        <x:v>IoT / lifestyle</x:v>
      </x:c>
      <x:c r="E15" s="15" t="str">
        <x:v>Internet services</x:v>
      </x:c>
    </x:row>
    <x:row r="16" ht="24" customHeight="1">
      <x:c r="A16" s="1"/>
      <x:c r="B16" s="1" t="str">
        <x:v>Selected peer</x:v>
      </x:c>
      <x:c r="C16" s="1" t="str">
        <x:v>Apple</x:v>
      </x:c>
      <x:c r="D16" s="1" t="str">
        <x:v>TCL Electronics</x:v>
      </x:c>
      <x:c r="E16" s="1" t="str">
        <x:v>Tencent</x:v>
      </x:c>
    </x:row>
    <x:row r="17" ht="24" customHeight="1">
      <x:c r="A17" s="1"/>
      <x:c r="B17" s="1" t="str">
        <x:v>Levered beta</x:v>
      </x:c>
      <x:c r="C17" s="16" t="n">
        <x:v>0.84</x:v>
      </x:c>
      <x:c r="D17" s="16" t="n">
        <x:v>0.71</x:v>
      </x:c>
      <x:c r="E17" s="16" t="n">
        <x:v>1.22</x:v>
      </x:c>
    </x:row>
    <x:row r="18" ht="24" customHeight="1">
      <x:c r="A18" s="1"/>
      <x:c r="B18" s="1" t="str">
        <x:v>Interest-bearing debt (USD millions)</x:v>
      </x:c>
      <x:c r="C18" s="17" t="n">
        <x:v>115680</x:v>
      </x:c>
      <x:c r="D18" s="17" t="n">
        <x:v>374.4</x:v>
      </x:c>
      <x:c r="E18" s="17" t="n">
        <x:v>20255.7</x:v>
      </x:c>
    </x:row>
    <x:row r="19" ht="24" customHeight="1">
      <x:c r="A19" s="1"/>
      <x:c r="B19" s="1" t="str">
        <x:v>Equity market value (USD millions)</x:v>
      </x:c>
      <x:c r="C19" s="17" t="n">
        <x:v>860882.5</x:v>
      </x:c>
      <x:c r="D19" s="17" t="n">
        <x:v>1162.2</x:v>
      </x:c>
      <x:c r="E19" s="17" t="n">
        <x:v>493340.4</x:v>
      </x:c>
    </x:row>
    <x:row r="20" ht="24" customHeight="1">
      <x:c r="A20" s="1"/>
      <x:c r="B20" s="1" t="str">
        <x:v>Assumed peer tax rate</x:v>
      </x:c>
      <x:c r="C20" s="18" t="n">
        <x:v>0.25</x:v>
      </x:c>
      <x:c r="D20" s="18" t="n">
        <x:v>0.25</x:v>
      </x:c>
      <x:c r="E20" s="18" t="n">
        <x:v>0.25</x:v>
      </x:c>
    </x:row>
    <x:row r="21" ht="24" customHeight="1">
      <x:c r="A21" s="1"/>
      <x:c r="B21" s="1" t="str">
        <x:v>Peer debt / equity</x:v>
      </x:c>
      <x:c r="C21" s="19" t="n">
        <x:f>C18/C19</x:f>
        <x:v>0.1343737385764027</x:v>
      </x:c>
      <x:c r="D21" s="19" t="n">
        <x:f>D18/D19</x:f>
        <x:v>0.3221476510067114</x:v>
      </x:c>
      <x:c r="E21" s="19" t="n">
        <x:f>E18/E19</x:f>
        <x:v>0.0410582632194728</x:v>
      </x:c>
    </x:row>
    <x:row r="22" ht="24" customHeight="1">
      <x:c r="A22" s="1"/>
      <x:c r="B22" s="1" t="str">
        <x:v>Unlevered beta</x:v>
      </x:c>
      <x:c r="C22" s="20" t="n">
        <x:f>C17/(1+(1-C20)*C21)</x:f>
        <x:v>0.7630950490295654</x:v>
      </x:c>
      <x:c r="D22" s="20" t="n">
        <x:f>D17/(1+(1-D20)*D21)</x:f>
        <x:v>0.5718378378378378</x:v>
      </x:c>
      <x:c r="E22" s="20" t="n">
        <x:f>E17/(1+(1-E20)*E21)</x:f>
        <x:v>1.183553996362177</x:v>
      </x:c>
    </x:row>
    <x:row r="23" ht="24" customHeight="1">
      <x:c r="A23" s="1"/>
      <x:c r="B23" s="1" t="str">
        <x:v>2017 gross profit (RMB thousands)</x:v>
      </x:c>
      <x:c r="C23" s="21" t="n">
        <x:v>7101339</x:v>
      </x:c>
      <x:c r="D23" s="21" t="n">
        <x:v>1950865</x:v>
      </x:c>
      <x:c r="E23" s="21" t="n">
        <x:v>5960751</x:v>
      </x:c>
    </x:row>
    <x:row r="24" ht="24" customHeight="1">
      <x:c r="A24" s="1"/>
      <x:c r="B24" s="1" t="str">
        <x:v>Business weight</x:v>
      </x:c>
      <x:c r="C24" s="19" t="n">
        <x:f>C23/SUM($C$23:$E$23)</x:f>
        <x:v>0.4730140735118436</x:v>
      </x:c>
      <x:c r="D24" s="19" t="n">
        <x:f>D23/SUM($C$23:$E$23)</x:f>
        <x:v>0.12994543712413711</x:v>
      </x:c>
      <x:c r="E24" s="19" t="n">
        <x:f>E23/SUM($C$23:$E$23)</x:f>
        <x:v>0.39704048936401926</x:v>
      </x:c>
    </x:row>
    <x:row r="25" ht="24" customHeight="1">
      <x:c r="A25" s="1"/>
      <x:c r="B25" s="1" t="str">
        <x:v>Weighted beta contribution</x:v>
      </x:c>
      <x:c r="C25" s="20" t="n">
        <x:f>C22*C24</x:f>
        <x:v>0.3609546976181947</x:v>
      </x:c>
      <x:c r="D25" s="20" t="n">
        <x:f>D22*D24</x:f>
        <x:v>0.07430771780195927</x:v>
      </x:c>
      <x:c r="E25" s="20" t="n">
        <x:f>E22*E24</x:f>
        <x:v>0.46991885790437943</x:v>
      </x:c>
    </x:row>
    <x:row r="26" ht="24" customHeight="1">
      <x:c r="A26" s="1"/>
      <x:c r="B26" s="1"/>
      <x:c r="C26" s="1"/>
      <x:c r="D26" s="1"/>
      <x:c r="E26" s="1"/>
    </x:row>
    <x:row r="27" ht="24" customHeight="1">
      <x:c r="A27" s="1"/>
      <x:c r="B27" s="2" t="str">
        <x:v>3. Xiaomi beta and cost of capital</x:v>
      </x:c>
      <x:c r="C27" s="2"/>
      <x:c r="D27" s="2"/>
      <x:c r="E27" s="2"/>
    </x:row>
    <x:row r="28" ht="24" customHeight="1">
      <x:c r="A28" s="1"/>
      <x:c r="B28" s="1" t="str">
        <x:v>Weighted unlevered beta</x:v>
      </x:c>
      <x:c r="C28" s="20" t="n">
        <x:f>SUM(C25:E25)</x:f>
        <x:v>0.9051812733245335</x:v>
      </x:c>
      <x:c r="D28" s="1"/>
      <x:c r="E28" s="1"/>
    </x:row>
    <x:row r="29" ht="24" customHeight="1">
      <x:c r="A29" s="1"/>
      <x:c r="B29" s="1" t="str">
        <x:v>Relevered equity beta</x:v>
      </x:c>
      <x:c r="C29" s="20" t="n">
        <x:f>C28*(1+(1-C10)*C8)</x:f>
        <x:v>1.1020582002726196</x:v>
      </x:c>
      <x:c r="D29" s="1"/>
      <x:c r="E29" s="1"/>
    </x:row>
    <x:row r="30" ht="24" customHeight="1">
      <x:c r="A30" s="1"/>
      <x:c r="B30" s="1" t="str">
        <x:v>Cost of equity (CAPM)</x:v>
      </x:c>
      <x:c r="C30" s="6" t="n">
        <x:f>C11+C29*C12</x:f>
        <x:v>0.097766288315403</x:v>
      </x:c>
      <x:c r="D30" s="1"/>
      <x:c r="E30" s="1"/>
    </x:row>
    <x:row r="31" ht="24" customHeight="1">
      <x:c r="A31" s="1"/>
      <x:c r="B31" s="1" t="str">
        <x:v>Debt / total capital</x:v>
      </x:c>
      <x:c r="C31" s="6" t="n">
        <x:f>C8/(1+C8)</x:f>
        <x:v>0.22480620155038758</x:v>
      </x:c>
      <x:c r="D31" s="1"/>
      <x:c r="E31" s="1"/>
    </x:row>
    <x:row r="32" ht="24" customHeight="1">
      <x:c r="A32" s="1"/>
      <x:c r="B32" s="1" t="str">
        <x:v>Equity / total capital</x:v>
      </x:c>
      <x:c r="C32" s="6" t="n">
        <x:f>1/(1+C8)</x:f>
        <x:v>0.7751937984496123</x:v>
      </x:c>
      <x:c r="D32" s="1"/>
      <x:c r="E32" s="1"/>
    </x:row>
    <x:row r="33" ht="24" customHeight="1">
      <x:c r="A33" s="1"/>
      <x:c r="B33" s="1" t="str">
        <x:v>After-tax cost of debt</x:v>
      </x:c>
      <x:c r="C33" s="6" t="n">
        <x:f>C9*(1-C10)</x:f>
        <x:v>0.045375</x:v>
      </x:c>
      <x:c r="D33" s="1"/>
      <x:c r="E33" s="1"/>
    </x:row>
    <x:row r="34" ht="24" customHeight="1">
      <x:c r="A34" s="1"/>
      <x:c r="B34" s="1" t="str">
        <x:v>Equity cost contribution</x:v>
      </x:c>
      <x:c r="C34" s="6" t="n">
        <x:f>C32*C30</x:f>
        <x:v>0.0757878203995372</x:v>
      </x:c>
      <x:c r="D34" s="1"/>
      <x:c r="E34" s="1"/>
    </x:row>
    <x:row r="35" ht="24" customHeight="1">
      <x:c r="A35" s="1"/>
      <x:c r="B35" s="9" t="str">
        <x:v>Weighted average cost of capital</x:v>
      </x:c>
      <x:c r="C35" s="10" t="n">
        <x:f>C34+C31*C33</x:f>
        <x:v>0.08598840179488604</x:v>
      </x:c>
      <x:c r="D35" s="1"/>
      <x:c r="E35" s="1"/>
    </x:row>
    <x:row r="36" ht="24" customHeight="1">
      <x:c r="A36" s="1"/>
      <x:c r="B36" s="1"/>
      <x:c r="C36" s="1"/>
      <x:c r="D36" s="1"/>
      <x:c r="E36" s="1"/>
    </x:row>
    <x:row r="37" ht="24" customHeight="1">
      <x:c r="A37" s="1"/>
      <x:c r="B37" s="2" t="str">
        <x:v>Model assumptions</x:v>
      </x:c>
      <x:c r="C37" s="2"/>
      <x:c r="D37" s="2"/>
      <x:c r="E37" s="2"/>
    </x:row>
    <x:row r="38" ht="34" customHeight="1">
      <x:c r="A38" s="1"/>
      <x:c r="B38" s="5" t="str">
        <x:v>Business weights use the three principal segments’ 2017 gross profit as a proxy for segment value. Others is excluded and weights are normalized to 100%.</x:v>
      </x:c>
      <x:c r="C38" s="5"/>
      <x:c r="D38" s="5"/>
      <x:c r="E38" s="5"/>
    </x:row>
    <x:row r="39" ht="24" customHeight="1">
      <x:c r="A39" s="1"/>
      <x:c r="B39" s="1"/>
      <x:c r="C39" s="1"/>
      <x:c r="D39" s="1"/>
      <x:c r="E39" s="1"/>
    </x:row>
    <x:row r="40" ht="34" customHeight="1">
      <x:c r="A40" s="1"/>
      <x:c r="B40" s="5" t="str">
        <x:v>One proxy peer per segment; peer tax rates are assumed at 25%. Book debt approximates market debt. No cash adjustment is applied.</x:v>
      </x:c>
      <x:c r="C40" s="5"/>
      <x:c r="D40" s="5"/>
      <x:c r="E40" s="5"/>
    </x:row>
    <x:row r="41" ht="24" customHeight="1">
      <x:c r="A41" s="1"/>
      <x:c r="B41" s="1"/>
      <x:c r="C41" s="1"/>
      <x:c r="D41" s="1"/>
      <x:c r="E41" s="1"/>
    </x:row>
    <x:row r="42" ht="34" customHeight="1">
      <x:c r="A42" s="1"/>
      <x:c r="B42" s="5" t="str">
        <x:v>The peer snapshot postdates the 2018 IPO. The 8.60% result is conditional on these revised assumptions, rather than a strictly IPO-date estimate.</x:v>
      </x:c>
      <x:c r="C42" s="5"/>
      <x:c r="D42" s="5"/>
      <x:c r="E42" s="5"/>
    </x:row>
    <x:row r="43" ht="24" customHeight="1">
      <x:c r="A43" s="1"/>
      <x:c r="B43" s="1"/>
      <x:c r="C43" s="1"/>
      <x:c r="D43" s="1"/>
      <x:c r="E43" s="1"/>
    </x:row>
    <x:row r="44" ht="34" customHeight="1">
      <x:c r="A44" s="1"/>
      <x:c r="B44" s="5" t="str">
        <x:v>Blue numbers are editable inputs. Black numbers are formula outputs.</x:v>
      </x:c>
      <x:c r="C44" s="5"/>
      <x:c r="D44" s="5"/>
      <x:c r="E44" s="5"/>
    </x:row>
    <x:row r="45" ht="24" customHeight="1">
      <x:c r="A45" s="1"/>
      <x:c r="B45" s="1"/>
      <x:c r="C45" s="1"/>
      <x:c r="D45" s="1"/>
      <x:c r="E45" s="1"/>
    </x:row>
  </x:sheetData>
  <x:mergeCells>
    <x:mergeCell ref="B3:E3"/>
    <x:mergeCell ref="B38:E38"/>
    <x:mergeCell ref="B40:E40"/>
    <x:mergeCell ref="B42:E42"/>
    <x:mergeCell ref="B44:E44"/>
  </x:mergeCells>
  <x:pageMargins left="0.7" right="0.7" top="0.75" bottom="0.75" header="0.3" footer="0.3"/>
</x:worksheet>
</file>